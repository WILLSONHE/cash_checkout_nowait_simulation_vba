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trlProps/ctrlProp1.xml" ContentType="application/vnd.ms-excel.controlproperti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wills\Downloads\"/>
    </mc:Choice>
  </mc:AlternateContent>
  <xr:revisionPtr revIDLastSave="0" documentId="13_ncr:1_{EFBF658E-EB37-418A-B2E2-6F432A4F2AD8}" xr6:coauthVersionLast="47" xr6:coauthVersionMax="47" xr10:uidLastSave="{00000000-0000-0000-0000-000000000000}"/>
  <bookViews>
    <workbookView xWindow="-120" yWindow="-120" windowWidth="29040" windowHeight="15840" xr2:uid="{5A99C832-321B-4DF2-A648-3D0BD21B575A}"/>
  </bookViews>
  <sheets>
    <sheet name="steps" sheetId="1" r:id="rId1"/>
    <sheet name="coins" sheetId="19" r:id="rId2"/>
    <sheet name="dice" sheetId="20" r:id="rId3"/>
    <sheet name="fiveTen" sheetId="21" r:id="rId4"/>
    <sheet name="hidden" sheetId="8" state="hidden" r:id="rId5"/>
  </sheets>
  <definedNames>
    <definedName name="dice">dice!$R$2:$R$7</definedName>
    <definedName name="translate">dice!$T$2:$V$7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4" i="21" l="1"/>
  <c r="D5" i="21"/>
  <c r="D6" i="21"/>
  <c r="D7" i="21"/>
  <c r="D8" i="21"/>
  <c r="D9" i="21"/>
  <c r="D10" i="21"/>
  <c r="D11" i="21"/>
  <c r="D12" i="21"/>
  <c r="D13" i="21"/>
  <c r="D14" i="21"/>
  <c r="D15" i="21"/>
  <c r="D16" i="21"/>
  <c r="D17" i="21"/>
  <c r="D18" i="21"/>
  <c r="D19" i="21"/>
  <c r="D20" i="21"/>
  <c r="D21" i="21"/>
  <c r="D22" i="21"/>
  <c r="D23" i="21"/>
  <c r="D24" i="21"/>
  <c r="D25" i="21"/>
  <c r="D26" i="21"/>
  <c r="D27" i="21"/>
  <c r="D28" i="21"/>
  <c r="D29" i="21"/>
  <c r="D30" i="21"/>
  <c r="D31" i="21"/>
  <c r="D32" i="21"/>
  <c r="D33" i="21"/>
  <c r="D34" i="21"/>
  <c r="D35" i="21"/>
  <c r="D36" i="21"/>
  <c r="D37" i="21"/>
  <c r="D38" i="21"/>
  <c r="D39" i="21"/>
  <c r="D40" i="21"/>
  <c r="D41" i="21"/>
  <c r="D42" i="21"/>
  <c r="D3" i="21"/>
  <c r="A3" i="20"/>
  <c r="C3" i="20" s="1" a="1"/>
  <c r="C3" i="20" s="1"/>
  <c r="E3" i="20" s="1" a="1"/>
  <c r="E3" i="20" s="1"/>
  <c r="B3" i="20"/>
  <c r="D3" i="20" s="1" a="1"/>
  <c r="D3" i="20" s="1"/>
  <c r="F3" i="20" s="1" a="1"/>
  <c r="F3" i="20" s="1"/>
  <c r="A4" i="20"/>
  <c r="C4" i="20" s="1" a="1"/>
  <c r="C4" i="20" s="1"/>
  <c r="E4" i="20" s="1" a="1"/>
  <c r="E4" i="20" s="1"/>
  <c r="B4" i="20"/>
  <c r="D4" i="20" s="1" a="1"/>
  <c r="D4" i="20" s="1"/>
  <c r="F4" i="20" s="1" a="1"/>
  <c r="F4" i="20" s="1"/>
  <c r="A5" i="20"/>
  <c r="C5" i="20" s="1" a="1"/>
  <c r="C5" i="20" s="1"/>
  <c r="E5" i="20" s="1" a="1"/>
  <c r="E5" i="20" s="1"/>
  <c r="B5" i="20"/>
  <c r="D5" i="20" s="1" a="1"/>
  <c r="D5" i="20" s="1"/>
  <c r="F5" i="20" s="1" a="1"/>
  <c r="F5" i="20" s="1"/>
  <c r="A6" i="20"/>
  <c r="C6" i="20" s="1" a="1"/>
  <c r="C6" i="20" s="1"/>
  <c r="E6" i="20" s="1" a="1"/>
  <c r="E6" i="20" s="1"/>
  <c r="B6" i="20"/>
  <c r="D6" i="20" s="1" a="1"/>
  <c r="D6" i="20" s="1"/>
  <c r="F6" i="20" s="1" a="1"/>
  <c r="F6" i="20" s="1"/>
  <c r="A7" i="20"/>
  <c r="C7" i="20" s="1" a="1"/>
  <c r="C7" i="20" s="1"/>
  <c r="E7" i="20" s="1" a="1"/>
  <c r="E7" i="20" s="1"/>
  <c r="B7" i="20"/>
  <c r="D7" i="20" s="1" a="1"/>
  <c r="D7" i="20" s="1"/>
  <c r="F7" i="20" s="1" a="1"/>
  <c r="F7" i="20" s="1"/>
  <c r="A8" i="20"/>
  <c r="C8" i="20" s="1" a="1"/>
  <c r="C8" i="20" s="1"/>
  <c r="E8" i="20" s="1" a="1"/>
  <c r="E8" i="20" s="1"/>
  <c r="B8" i="20"/>
  <c r="D8" i="20" s="1" a="1"/>
  <c r="D8" i="20" s="1"/>
  <c r="F8" i="20" s="1" a="1"/>
  <c r="F8" i="20" s="1"/>
  <c r="A9" i="20"/>
  <c r="C9" i="20" s="1" a="1"/>
  <c r="C9" i="20" s="1"/>
  <c r="E9" i="20" s="1" a="1"/>
  <c r="E9" i="20" s="1"/>
  <c r="B9" i="20"/>
  <c r="D9" i="20" s="1" a="1"/>
  <c r="D9" i="20" s="1"/>
  <c r="F9" i="20" s="1" a="1"/>
  <c r="F9" i="20" s="1"/>
  <c r="A10" i="20"/>
  <c r="C10" i="20" s="1" a="1"/>
  <c r="C10" i="20" s="1"/>
  <c r="E10" i="20" s="1" a="1"/>
  <c r="E10" i="20" s="1"/>
  <c r="B10" i="20"/>
  <c r="D10" i="20" s="1" a="1"/>
  <c r="D10" i="20" s="1"/>
  <c r="F10" i="20" s="1" a="1"/>
  <c r="F10" i="20" s="1"/>
  <c r="A11" i="20"/>
  <c r="C11" i="20" s="1" a="1"/>
  <c r="C11" i="20" s="1"/>
  <c r="E11" i="20" s="1" a="1"/>
  <c r="E11" i="20" s="1"/>
  <c r="B11" i="20"/>
  <c r="D11" i="20" s="1" a="1"/>
  <c r="D11" i="20" s="1"/>
  <c r="F11" i="20" s="1" a="1"/>
  <c r="F11" i="20" s="1"/>
  <c r="A12" i="20"/>
  <c r="C12" i="20" s="1" a="1"/>
  <c r="C12" i="20" s="1"/>
  <c r="E12" i="20" s="1" a="1"/>
  <c r="E12" i="20" s="1"/>
  <c r="B12" i="20"/>
  <c r="D12" i="20" s="1" a="1"/>
  <c r="D12" i="20" s="1"/>
  <c r="F12" i="20" s="1" a="1"/>
  <c r="F12" i="20" s="1"/>
  <c r="A13" i="20"/>
  <c r="C13" i="20" s="1" a="1"/>
  <c r="C13" i="20" s="1"/>
  <c r="E13" i="20" s="1" a="1"/>
  <c r="E13" i="20" s="1"/>
  <c r="B13" i="20"/>
  <c r="D13" i="20" s="1" a="1"/>
  <c r="D13" i="20" s="1"/>
  <c r="F13" i="20" s="1" a="1"/>
  <c r="F13" i="20" s="1"/>
  <c r="A14" i="20"/>
  <c r="C14" i="20" s="1" a="1"/>
  <c r="C14" i="20" s="1"/>
  <c r="E14" i="20" s="1" a="1"/>
  <c r="E14" i="20" s="1"/>
  <c r="B14" i="20"/>
  <c r="D14" i="20" s="1" a="1"/>
  <c r="D14" i="20" s="1"/>
  <c r="F14" i="20" s="1" a="1"/>
  <c r="F14" i="20" s="1"/>
  <c r="A15" i="20"/>
  <c r="C15" i="20" s="1" a="1"/>
  <c r="C15" i="20" s="1"/>
  <c r="E15" i="20" s="1" a="1"/>
  <c r="E15" i="20" s="1"/>
  <c r="B15" i="20"/>
  <c r="D15" i="20" s="1" a="1"/>
  <c r="D15" i="20" s="1"/>
  <c r="F15" i="20" s="1" a="1"/>
  <c r="F15" i="20" s="1"/>
  <c r="A16" i="20"/>
  <c r="C16" i="20" s="1" a="1"/>
  <c r="C16" i="20" s="1"/>
  <c r="E16" i="20" s="1" a="1"/>
  <c r="E16" i="20" s="1"/>
  <c r="B16" i="20"/>
  <c r="D16" i="20" s="1" a="1"/>
  <c r="D16" i="20" s="1"/>
  <c r="F16" i="20" s="1" a="1"/>
  <c r="F16" i="20" s="1"/>
  <c r="A17" i="20"/>
  <c r="C17" i="20" s="1" a="1"/>
  <c r="C17" i="20" s="1"/>
  <c r="E17" i="20" s="1" a="1"/>
  <c r="E17" i="20" s="1"/>
  <c r="B17" i="20"/>
  <c r="D17" i="20" s="1" a="1"/>
  <c r="D17" i="20" s="1"/>
  <c r="F17" i="20" s="1" a="1"/>
  <c r="F17" i="20" s="1"/>
  <c r="A18" i="20"/>
  <c r="C18" i="20" s="1" a="1"/>
  <c r="C18" i="20" s="1"/>
  <c r="E18" i="20" s="1" a="1"/>
  <c r="E18" i="20" s="1"/>
  <c r="B18" i="20"/>
  <c r="D18" i="20" s="1" a="1"/>
  <c r="D18" i="20" s="1"/>
  <c r="F18" i="20" s="1" a="1"/>
  <c r="F18" i="20" s="1"/>
  <c r="A19" i="20"/>
  <c r="C19" i="20" s="1" a="1"/>
  <c r="C19" i="20" s="1"/>
  <c r="E19" i="20" s="1" a="1"/>
  <c r="E19" i="20" s="1"/>
  <c r="B19" i="20"/>
  <c r="D19" i="20" s="1" a="1"/>
  <c r="D19" i="20" s="1"/>
  <c r="F19" i="20" s="1" a="1"/>
  <c r="F19" i="20" s="1"/>
  <c r="A20" i="20"/>
  <c r="C20" i="20" s="1" a="1"/>
  <c r="C20" i="20" s="1"/>
  <c r="E20" i="20" s="1" a="1"/>
  <c r="E20" i="20" s="1"/>
  <c r="B20" i="20"/>
  <c r="D20" i="20" s="1" a="1"/>
  <c r="D20" i="20" s="1"/>
  <c r="F20" i="20" s="1" a="1"/>
  <c r="F20" i="20" s="1"/>
  <c r="A21" i="20"/>
  <c r="C21" i="20" s="1" a="1"/>
  <c r="C21" i="20" s="1"/>
  <c r="E21" i="20" s="1" a="1"/>
  <c r="E21" i="20" s="1"/>
  <c r="B21" i="20"/>
  <c r="D21" i="20" s="1" a="1"/>
  <c r="D21" i="20" s="1"/>
  <c r="F21" i="20" s="1" a="1"/>
  <c r="F21" i="20" s="1"/>
  <c r="A22" i="20"/>
  <c r="C22" i="20" s="1" a="1"/>
  <c r="C22" i="20" s="1"/>
  <c r="E22" i="20" s="1" a="1"/>
  <c r="E22" i="20" s="1"/>
  <c r="B22" i="20"/>
  <c r="D22" i="20" s="1" a="1"/>
  <c r="D22" i="20" s="1"/>
  <c r="F22" i="20" s="1" a="1"/>
  <c r="F22" i="20" s="1"/>
  <c r="A23" i="20"/>
  <c r="C23" i="20" s="1" a="1"/>
  <c r="C23" i="20" s="1"/>
  <c r="E23" i="20" s="1" a="1"/>
  <c r="E23" i="20" s="1"/>
  <c r="B23" i="20"/>
  <c r="D23" i="20" s="1" a="1"/>
  <c r="D23" i="20" s="1"/>
  <c r="F23" i="20" s="1" a="1"/>
  <c r="F23" i="20" s="1"/>
  <c r="A24" i="20"/>
  <c r="C24" i="20" s="1" a="1"/>
  <c r="C24" i="20" s="1"/>
  <c r="E24" i="20" s="1" a="1"/>
  <c r="E24" i="20" s="1"/>
  <c r="B24" i="20"/>
  <c r="D24" i="20" s="1" a="1"/>
  <c r="D24" i="20" s="1"/>
  <c r="F24" i="20" s="1" a="1"/>
  <c r="F24" i="20" s="1"/>
  <c r="A25" i="20"/>
  <c r="C25" i="20" s="1" a="1"/>
  <c r="C25" i="20" s="1"/>
  <c r="E25" i="20" s="1" a="1"/>
  <c r="E25" i="20" s="1"/>
  <c r="B25" i="20"/>
  <c r="D25" i="20" s="1" a="1"/>
  <c r="D25" i="20" s="1"/>
  <c r="F25" i="20" s="1" a="1"/>
  <c r="F25" i="20" s="1"/>
  <c r="A26" i="20"/>
  <c r="C26" i="20" s="1" a="1"/>
  <c r="C26" i="20" s="1"/>
  <c r="E26" i="20" s="1" a="1"/>
  <c r="E26" i="20" s="1"/>
  <c r="B26" i="20"/>
  <c r="D26" i="20" s="1" a="1"/>
  <c r="D26" i="20" s="1"/>
  <c r="F26" i="20" s="1" a="1"/>
  <c r="F26" i="20" s="1"/>
  <c r="A27" i="20"/>
  <c r="C27" i="20" s="1" a="1"/>
  <c r="C27" i="20" s="1"/>
  <c r="E27" i="20" s="1" a="1"/>
  <c r="E27" i="20" s="1"/>
  <c r="B27" i="20"/>
  <c r="D27" i="20" s="1" a="1"/>
  <c r="D27" i="20" s="1"/>
  <c r="F27" i="20" s="1" a="1"/>
  <c r="F27" i="20" s="1"/>
  <c r="A28" i="20"/>
  <c r="C28" i="20" s="1" a="1"/>
  <c r="C28" i="20" s="1"/>
  <c r="E28" i="20" s="1" a="1"/>
  <c r="E28" i="20" s="1"/>
  <c r="B28" i="20"/>
  <c r="D28" i="20" s="1" a="1"/>
  <c r="D28" i="20" s="1"/>
  <c r="F28" i="20" s="1" a="1"/>
  <c r="F28" i="20" s="1"/>
  <c r="A29" i="20"/>
  <c r="C29" i="20" s="1" a="1"/>
  <c r="C29" i="20" s="1"/>
  <c r="E29" i="20" s="1" a="1"/>
  <c r="E29" i="20" s="1"/>
  <c r="B29" i="20"/>
  <c r="D29" i="20" s="1" a="1"/>
  <c r="D29" i="20" s="1"/>
  <c r="F29" i="20" s="1" a="1"/>
  <c r="F29" i="20" s="1"/>
  <c r="A30" i="20"/>
  <c r="C30" i="20" s="1" a="1"/>
  <c r="C30" i="20" s="1"/>
  <c r="E30" i="20" s="1" a="1"/>
  <c r="E30" i="20" s="1"/>
  <c r="B30" i="20"/>
  <c r="D30" i="20" s="1" a="1"/>
  <c r="D30" i="20" s="1"/>
  <c r="F30" i="20" s="1" a="1"/>
  <c r="F30" i="20" s="1"/>
  <c r="A31" i="20"/>
  <c r="C31" i="20" s="1" a="1"/>
  <c r="C31" i="20" s="1"/>
  <c r="E31" i="20" s="1" a="1"/>
  <c r="E31" i="20" s="1"/>
  <c r="B31" i="20"/>
  <c r="D31" i="20" s="1" a="1"/>
  <c r="D31" i="20" s="1"/>
  <c r="F31" i="20" s="1" a="1"/>
  <c r="F31" i="20" s="1"/>
  <c r="A32" i="20"/>
  <c r="C32" i="20" s="1" a="1"/>
  <c r="C32" i="20" s="1"/>
  <c r="E32" i="20" s="1" a="1"/>
  <c r="E32" i="20" s="1"/>
  <c r="B32" i="20"/>
  <c r="D32" i="20" s="1" a="1"/>
  <c r="D32" i="20" s="1"/>
  <c r="F32" i="20" s="1" a="1"/>
  <c r="F32" i="20" s="1"/>
  <c r="A33" i="20"/>
  <c r="C33" i="20" s="1" a="1"/>
  <c r="C33" i="20" s="1"/>
  <c r="E33" i="20" s="1" a="1"/>
  <c r="E33" i="20" s="1"/>
  <c r="B33" i="20"/>
  <c r="D33" i="20" s="1" a="1"/>
  <c r="D33" i="20" s="1"/>
  <c r="F33" i="20" s="1" a="1"/>
  <c r="F33" i="20" s="1"/>
  <c r="A34" i="20"/>
  <c r="C34" i="20" s="1" a="1"/>
  <c r="C34" i="20" s="1"/>
  <c r="E34" i="20" s="1" a="1"/>
  <c r="E34" i="20" s="1"/>
  <c r="B34" i="20"/>
  <c r="D34" i="20" s="1" a="1"/>
  <c r="D34" i="20" s="1"/>
  <c r="F34" i="20" s="1" a="1"/>
  <c r="F34" i="20" s="1"/>
  <c r="A35" i="20"/>
  <c r="C35" i="20" s="1" a="1"/>
  <c r="C35" i="20" s="1"/>
  <c r="E35" i="20" s="1" a="1"/>
  <c r="E35" i="20" s="1"/>
  <c r="B35" i="20"/>
  <c r="D35" i="20" s="1" a="1"/>
  <c r="D35" i="20" s="1"/>
  <c r="F35" i="20" s="1" a="1"/>
  <c r="F35" i="20" s="1"/>
  <c r="A36" i="20"/>
  <c r="C36" i="20" s="1" a="1"/>
  <c r="C36" i="20" s="1"/>
  <c r="E36" i="20" s="1" a="1"/>
  <c r="E36" i="20" s="1"/>
  <c r="B36" i="20"/>
  <c r="D36" i="20" s="1" a="1"/>
  <c r="D36" i="20" s="1"/>
  <c r="F36" i="20" s="1" a="1"/>
  <c r="F36" i="20" s="1"/>
  <c r="A37" i="20"/>
  <c r="C37" i="20" s="1" a="1"/>
  <c r="C37" i="20" s="1"/>
  <c r="E37" i="20" s="1" a="1"/>
  <c r="E37" i="20" s="1"/>
  <c r="B37" i="20"/>
  <c r="D37" i="20" s="1" a="1"/>
  <c r="D37" i="20" s="1"/>
  <c r="F37" i="20" s="1" a="1"/>
  <c r="F37" i="20" s="1"/>
  <c r="A38" i="20"/>
  <c r="C38" i="20" s="1" a="1"/>
  <c r="C38" i="20" s="1"/>
  <c r="E38" i="20" s="1" a="1"/>
  <c r="E38" i="20" s="1"/>
  <c r="B38" i="20"/>
  <c r="D38" i="20" s="1" a="1"/>
  <c r="D38" i="20" s="1"/>
  <c r="F38" i="20" s="1" a="1"/>
  <c r="F38" i="20" s="1"/>
  <c r="A39" i="20"/>
  <c r="C39" i="20" s="1" a="1"/>
  <c r="C39" i="20" s="1"/>
  <c r="E39" i="20" s="1" a="1"/>
  <c r="E39" i="20" s="1"/>
  <c r="B39" i="20"/>
  <c r="D39" i="20" s="1" a="1"/>
  <c r="D39" i="20" s="1"/>
  <c r="F39" i="20" s="1" a="1"/>
  <c r="F39" i="20" s="1"/>
  <c r="A40" i="20"/>
  <c r="C40" i="20" s="1" a="1"/>
  <c r="C40" i="20" s="1"/>
  <c r="E40" i="20" s="1" a="1"/>
  <c r="E40" i="20" s="1"/>
  <c r="B40" i="20"/>
  <c r="D40" i="20" s="1" a="1"/>
  <c r="D40" i="20" s="1"/>
  <c r="F40" i="20" s="1" a="1"/>
  <c r="F40" i="20" s="1"/>
  <c r="A41" i="20"/>
  <c r="C41" i="20" s="1" a="1"/>
  <c r="C41" i="20" s="1"/>
  <c r="E41" i="20" s="1" a="1"/>
  <c r="E41" i="20" s="1"/>
  <c r="B41" i="20"/>
  <c r="D41" i="20" s="1" a="1"/>
  <c r="D41" i="20" s="1"/>
  <c r="F41" i="20" s="1" a="1"/>
  <c r="F41" i="20" s="1"/>
  <c r="A42" i="20"/>
  <c r="C42" i="20" s="1" a="1"/>
  <c r="C42" i="20" s="1"/>
  <c r="E42" i="20" s="1" a="1"/>
  <c r="E42" i="20" s="1"/>
  <c r="B42" i="20"/>
  <c r="D42" i="20" s="1" a="1"/>
  <c r="D42" i="20" s="1"/>
  <c r="F42" i="20" s="1" a="1"/>
  <c r="F42" i="20" s="1"/>
  <c r="A43" i="20"/>
  <c r="C43" i="20" s="1" a="1"/>
  <c r="C43" i="20" s="1"/>
  <c r="E43" i="20" s="1" a="1"/>
  <c r="E43" i="20" s="1"/>
  <c r="B43" i="20"/>
  <c r="D43" i="20" s="1" a="1"/>
  <c r="D43" i="20" s="1"/>
  <c r="F43" i="20" s="1" a="1"/>
  <c r="F43" i="20" s="1"/>
  <c r="A44" i="20"/>
  <c r="C44" i="20" s="1" a="1"/>
  <c r="C44" i="20" s="1"/>
  <c r="E44" i="20" s="1" a="1"/>
  <c r="E44" i="20" s="1"/>
  <c r="B44" i="20"/>
  <c r="D44" i="20" s="1" a="1"/>
  <c r="D44" i="20" s="1"/>
  <c r="F44" i="20" s="1" a="1"/>
  <c r="F44" i="20" s="1"/>
  <c r="A45" i="20"/>
  <c r="C45" i="20" s="1" a="1"/>
  <c r="C45" i="20" s="1"/>
  <c r="E45" i="20" s="1" a="1"/>
  <c r="E45" i="20" s="1"/>
  <c r="B45" i="20"/>
  <c r="D45" i="20" s="1" a="1"/>
  <c r="D45" i="20" s="1"/>
  <c r="F45" i="20" s="1" a="1"/>
  <c r="F45" i="20" s="1"/>
  <c r="A46" i="20"/>
  <c r="C46" i="20" s="1" a="1"/>
  <c r="C46" i="20" s="1"/>
  <c r="E46" i="20" s="1" a="1"/>
  <c r="E46" i="20" s="1"/>
  <c r="B46" i="20"/>
  <c r="D46" i="20" s="1" a="1"/>
  <c r="D46" i="20" s="1"/>
  <c r="F46" i="20" s="1" a="1"/>
  <c r="F46" i="20" s="1"/>
  <c r="A47" i="20"/>
  <c r="C47" i="20" s="1" a="1"/>
  <c r="C47" i="20" s="1"/>
  <c r="E47" i="20" s="1" a="1"/>
  <c r="E47" i="20" s="1"/>
  <c r="B47" i="20"/>
  <c r="D47" i="20" s="1" a="1"/>
  <c r="D47" i="20" s="1"/>
  <c r="F47" i="20" s="1" a="1"/>
  <c r="F47" i="20" s="1"/>
  <c r="A48" i="20"/>
  <c r="C48" i="20" s="1" a="1"/>
  <c r="C48" i="20" s="1"/>
  <c r="E48" i="20" s="1" a="1"/>
  <c r="E48" i="20" s="1"/>
  <c r="B48" i="20"/>
  <c r="D48" i="20" s="1" a="1"/>
  <c r="D48" i="20" s="1"/>
  <c r="F48" i="20" s="1" a="1"/>
  <c r="F48" i="20" s="1"/>
  <c r="A49" i="20"/>
  <c r="C49" i="20" s="1" a="1"/>
  <c r="C49" i="20" s="1"/>
  <c r="E49" i="20" s="1" a="1"/>
  <c r="E49" i="20" s="1"/>
  <c r="B49" i="20"/>
  <c r="D49" i="20" s="1" a="1"/>
  <c r="D49" i="20" s="1"/>
  <c r="F49" i="20" s="1" a="1"/>
  <c r="F49" i="20" s="1"/>
  <c r="A50" i="20"/>
  <c r="C50" i="20" s="1" a="1"/>
  <c r="C50" i="20" s="1"/>
  <c r="E50" i="20" s="1" a="1"/>
  <c r="E50" i="20" s="1"/>
  <c r="B50" i="20"/>
  <c r="D50" i="20" s="1" a="1"/>
  <c r="D50" i="20" s="1"/>
  <c r="F50" i="20" s="1" a="1"/>
  <c r="F50" i="20" s="1"/>
  <c r="A51" i="20"/>
  <c r="C51" i="20" s="1" a="1"/>
  <c r="C51" i="20" s="1"/>
  <c r="E51" i="20" s="1" a="1"/>
  <c r="E51" i="20" s="1"/>
  <c r="B51" i="20"/>
  <c r="D51" i="20" s="1" a="1"/>
  <c r="D51" i="20" s="1"/>
  <c r="F51" i="20" s="1" a="1"/>
  <c r="F51" i="20" s="1"/>
  <c r="A52" i="20"/>
  <c r="C52" i="20" s="1" a="1"/>
  <c r="C52" i="20" s="1"/>
  <c r="E52" i="20" s="1" a="1"/>
  <c r="E52" i="20" s="1"/>
  <c r="B52" i="20"/>
  <c r="D52" i="20" s="1" a="1"/>
  <c r="D52" i="20" s="1"/>
  <c r="F52" i="20" s="1" a="1"/>
  <c r="F52" i="20" s="1"/>
  <c r="A53" i="20"/>
  <c r="C53" i="20" s="1" a="1"/>
  <c r="C53" i="20" s="1"/>
  <c r="E53" i="20" s="1" a="1"/>
  <c r="E53" i="20" s="1"/>
  <c r="B53" i="20"/>
  <c r="D53" i="20" s="1" a="1"/>
  <c r="D53" i="20" s="1"/>
  <c r="F53" i="20" s="1" a="1"/>
  <c r="F53" i="20" s="1"/>
  <c r="A54" i="20"/>
  <c r="C54" i="20" s="1" a="1"/>
  <c r="C54" i="20" s="1"/>
  <c r="E54" i="20" s="1" a="1"/>
  <c r="E54" i="20" s="1"/>
  <c r="B54" i="20"/>
  <c r="D54" i="20" s="1" a="1"/>
  <c r="D54" i="20" s="1"/>
  <c r="F54" i="20" s="1" a="1"/>
  <c r="F54" i="20" s="1"/>
  <c r="A55" i="20"/>
  <c r="C55" i="20" s="1" a="1"/>
  <c r="C55" i="20" s="1"/>
  <c r="E55" i="20" s="1" a="1"/>
  <c r="E55" i="20" s="1"/>
  <c r="B55" i="20"/>
  <c r="D55" i="20" s="1" a="1"/>
  <c r="D55" i="20" s="1"/>
  <c r="F55" i="20" s="1" a="1"/>
  <c r="F55" i="20" s="1"/>
  <c r="A56" i="20"/>
  <c r="C56" i="20" s="1" a="1"/>
  <c r="C56" i="20" s="1"/>
  <c r="E56" i="20" s="1" a="1"/>
  <c r="E56" i="20" s="1"/>
  <c r="B56" i="20"/>
  <c r="D56" i="20" s="1" a="1"/>
  <c r="D56" i="20" s="1"/>
  <c r="F56" i="20" s="1" a="1"/>
  <c r="F56" i="20" s="1"/>
  <c r="A57" i="20"/>
  <c r="C57" i="20" s="1" a="1"/>
  <c r="C57" i="20" s="1"/>
  <c r="E57" i="20" s="1" a="1"/>
  <c r="E57" i="20" s="1"/>
  <c r="B57" i="20"/>
  <c r="D57" i="20" s="1" a="1"/>
  <c r="D57" i="20" s="1"/>
  <c r="F57" i="20" s="1" a="1"/>
  <c r="F57" i="20" s="1"/>
  <c r="A58" i="20"/>
  <c r="C58" i="20" s="1" a="1"/>
  <c r="C58" i="20" s="1"/>
  <c r="E58" i="20" s="1" a="1"/>
  <c r="E58" i="20" s="1"/>
  <c r="B58" i="20"/>
  <c r="D58" i="20" s="1" a="1"/>
  <c r="D58" i="20" s="1"/>
  <c r="F58" i="20" s="1" a="1"/>
  <c r="F58" i="20" s="1"/>
  <c r="A59" i="20"/>
  <c r="C59" i="20" s="1" a="1"/>
  <c r="C59" i="20" s="1"/>
  <c r="E59" i="20" s="1" a="1"/>
  <c r="E59" i="20" s="1"/>
  <c r="B59" i="20"/>
  <c r="D59" i="20" s="1" a="1"/>
  <c r="D59" i="20" s="1"/>
  <c r="F59" i="20" s="1" a="1"/>
  <c r="F59" i="20" s="1"/>
  <c r="A60" i="20"/>
  <c r="C60" i="20" s="1" a="1"/>
  <c r="C60" i="20" s="1"/>
  <c r="E60" i="20" s="1" a="1"/>
  <c r="E60" i="20" s="1"/>
  <c r="B60" i="20"/>
  <c r="D60" i="20" s="1" a="1"/>
  <c r="D60" i="20" s="1"/>
  <c r="F60" i="20" s="1" a="1"/>
  <c r="F60" i="20" s="1"/>
  <c r="A61" i="20"/>
  <c r="C61" i="20" s="1" a="1"/>
  <c r="C61" i="20" s="1"/>
  <c r="E61" i="20" s="1" a="1"/>
  <c r="E61" i="20" s="1"/>
  <c r="B61" i="20"/>
  <c r="D61" i="20" s="1" a="1"/>
  <c r="D61" i="20" s="1"/>
  <c r="F61" i="20" s="1" a="1"/>
  <c r="F61" i="20" s="1"/>
  <c r="A62" i="20"/>
  <c r="C62" i="20" s="1" a="1"/>
  <c r="C62" i="20" s="1"/>
  <c r="E62" i="20" s="1" a="1"/>
  <c r="E62" i="20" s="1"/>
  <c r="B62" i="20"/>
  <c r="D62" i="20" s="1" a="1"/>
  <c r="D62" i="20" s="1"/>
  <c r="F62" i="20" s="1" a="1"/>
  <c r="F62" i="20" s="1"/>
  <c r="A63" i="20"/>
  <c r="C63" i="20" s="1" a="1"/>
  <c r="C63" i="20" s="1"/>
  <c r="E63" i="20" s="1" a="1"/>
  <c r="E63" i="20" s="1"/>
  <c r="B63" i="20"/>
  <c r="D63" i="20" s="1" a="1"/>
  <c r="D63" i="20" s="1"/>
  <c r="F63" i="20" s="1" a="1"/>
  <c r="F63" i="20" s="1"/>
  <c r="A64" i="20"/>
  <c r="C64" i="20" s="1" a="1"/>
  <c r="C64" i="20" s="1"/>
  <c r="E64" i="20" s="1" a="1"/>
  <c r="E64" i="20" s="1"/>
  <c r="B64" i="20"/>
  <c r="D64" i="20" s="1" a="1"/>
  <c r="D64" i="20" s="1"/>
  <c r="F64" i="20" s="1" a="1"/>
  <c r="F64" i="20" s="1"/>
  <c r="A65" i="20"/>
  <c r="C65" i="20" s="1" a="1"/>
  <c r="C65" i="20" s="1"/>
  <c r="E65" i="20" s="1" a="1"/>
  <c r="E65" i="20" s="1"/>
  <c r="B65" i="20"/>
  <c r="D65" i="20" s="1" a="1"/>
  <c r="D65" i="20" s="1"/>
  <c r="F65" i="20" s="1" a="1"/>
  <c r="F65" i="20" s="1"/>
  <c r="A66" i="20"/>
  <c r="C66" i="20" s="1" a="1"/>
  <c r="C66" i="20" s="1"/>
  <c r="E66" i="20" s="1" a="1"/>
  <c r="E66" i="20" s="1"/>
  <c r="B66" i="20"/>
  <c r="D66" i="20" s="1" a="1"/>
  <c r="D66" i="20" s="1"/>
  <c r="F66" i="20" s="1" a="1"/>
  <c r="F66" i="20" s="1"/>
  <c r="A67" i="20"/>
  <c r="C67" i="20" s="1" a="1"/>
  <c r="C67" i="20" s="1"/>
  <c r="E67" i="20" s="1" a="1"/>
  <c r="E67" i="20" s="1"/>
  <c r="B67" i="20"/>
  <c r="D67" i="20" s="1" a="1"/>
  <c r="D67" i="20" s="1"/>
  <c r="F67" i="20" s="1" a="1"/>
  <c r="F67" i="20" s="1"/>
  <c r="A68" i="20"/>
  <c r="C68" i="20" s="1" a="1"/>
  <c r="C68" i="20" s="1"/>
  <c r="E68" i="20" s="1" a="1"/>
  <c r="E68" i="20" s="1"/>
  <c r="B68" i="20"/>
  <c r="D68" i="20" s="1" a="1"/>
  <c r="D68" i="20" s="1"/>
  <c r="F68" i="20" s="1" a="1"/>
  <c r="F68" i="20" s="1"/>
  <c r="A69" i="20"/>
  <c r="C69" i="20" s="1" a="1"/>
  <c r="C69" i="20" s="1"/>
  <c r="E69" i="20" s="1" a="1"/>
  <c r="E69" i="20" s="1"/>
  <c r="B69" i="20"/>
  <c r="D69" i="20" s="1" a="1"/>
  <c r="D69" i="20" s="1"/>
  <c r="F69" i="20" s="1" a="1"/>
  <c r="F69" i="20" s="1"/>
  <c r="A70" i="20"/>
  <c r="C70" i="20" s="1" a="1"/>
  <c r="C70" i="20" s="1"/>
  <c r="E70" i="20" s="1" a="1"/>
  <c r="E70" i="20" s="1"/>
  <c r="B70" i="20"/>
  <c r="D70" i="20" s="1" a="1"/>
  <c r="D70" i="20" s="1"/>
  <c r="F70" i="20" s="1" a="1"/>
  <c r="F70" i="20" s="1"/>
  <c r="A71" i="20"/>
  <c r="C71" i="20" s="1" a="1"/>
  <c r="C71" i="20" s="1"/>
  <c r="E71" i="20" s="1" a="1"/>
  <c r="E71" i="20" s="1"/>
  <c r="B71" i="20"/>
  <c r="D71" i="20" s="1" a="1"/>
  <c r="D71" i="20" s="1"/>
  <c r="F71" i="20" s="1" a="1"/>
  <c r="F71" i="20" s="1"/>
  <c r="A72" i="20"/>
  <c r="C72" i="20" s="1" a="1"/>
  <c r="C72" i="20" s="1"/>
  <c r="E72" i="20" s="1" a="1"/>
  <c r="E72" i="20" s="1"/>
  <c r="B72" i="20"/>
  <c r="D72" i="20" s="1" a="1"/>
  <c r="D72" i="20" s="1"/>
  <c r="F72" i="20" s="1" a="1"/>
  <c r="F72" i="20" s="1"/>
  <c r="A73" i="20"/>
  <c r="C73" i="20" s="1" a="1"/>
  <c r="C73" i="20" s="1"/>
  <c r="E73" i="20" s="1" a="1"/>
  <c r="E73" i="20" s="1"/>
  <c r="B73" i="20"/>
  <c r="D73" i="20" s="1" a="1"/>
  <c r="D73" i="20" s="1"/>
  <c r="F73" i="20" s="1" a="1"/>
  <c r="F73" i="20" s="1"/>
  <c r="A74" i="20"/>
  <c r="C74" i="20" s="1" a="1"/>
  <c r="C74" i="20" s="1"/>
  <c r="E74" i="20" s="1" a="1"/>
  <c r="E74" i="20" s="1"/>
  <c r="B74" i="20"/>
  <c r="D74" i="20" s="1" a="1"/>
  <c r="D74" i="20" s="1"/>
  <c r="F74" i="20" s="1" a="1"/>
  <c r="F74" i="20" s="1"/>
  <c r="A75" i="20"/>
  <c r="C75" i="20" s="1" a="1"/>
  <c r="C75" i="20" s="1"/>
  <c r="E75" i="20" s="1" a="1"/>
  <c r="E75" i="20" s="1"/>
  <c r="B75" i="20"/>
  <c r="D75" i="20" s="1" a="1"/>
  <c r="D75" i="20" s="1"/>
  <c r="F75" i="20" s="1" a="1"/>
  <c r="F75" i="20" s="1"/>
  <c r="A76" i="20"/>
  <c r="C76" i="20" s="1" a="1"/>
  <c r="C76" i="20" s="1"/>
  <c r="E76" i="20" s="1" a="1"/>
  <c r="E76" i="20" s="1"/>
  <c r="B76" i="20"/>
  <c r="D76" i="20" s="1" a="1"/>
  <c r="D76" i="20" s="1"/>
  <c r="F76" i="20" s="1" a="1"/>
  <c r="F76" i="20" s="1"/>
  <c r="A77" i="20"/>
  <c r="C77" i="20" s="1" a="1"/>
  <c r="C77" i="20" s="1"/>
  <c r="E77" i="20" s="1" a="1"/>
  <c r="E77" i="20" s="1"/>
  <c r="B77" i="20"/>
  <c r="D77" i="20" s="1" a="1"/>
  <c r="D77" i="20" s="1"/>
  <c r="F77" i="20" s="1" a="1"/>
  <c r="F77" i="20" s="1"/>
  <c r="A78" i="20"/>
  <c r="B78" i="20"/>
  <c r="D78" i="20" s="1" a="1"/>
  <c r="D78" i="20" s="1"/>
  <c r="F78" i="20" s="1" a="1"/>
  <c r="F78" i="20" s="1"/>
  <c r="A79" i="20"/>
  <c r="C79" i="20" s="1" a="1"/>
  <c r="C79" i="20" s="1"/>
  <c r="E79" i="20" s="1" a="1"/>
  <c r="E79" i="20" s="1"/>
  <c r="B79" i="20"/>
  <c r="D79" i="20" s="1" a="1"/>
  <c r="D79" i="20" s="1"/>
  <c r="F79" i="20" s="1" a="1"/>
  <c r="F79" i="20" s="1"/>
  <c r="A80" i="20"/>
  <c r="C80" i="20" s="1" a="1"/>
  <c r="C80" i="20" s="1"/>
  <c r="E80" i="20" s="1" a="1"/>
  <c r="E80" i="20" s="1"/>
  <c r="B80" i="20"/>
  <c r="D80" i="20" s="1" a="1"/>
  <c r="D80" i="20" s="1"/>
  <c r="F80" i="20" s="1" a="1"/>
  <c r="F80" i="20" s="1"/>
  <c r="A81" i="20"/>
  <c r="C81" i="20" s="1" a="1"/>
  <c r="C81" i="20" s="1"/>
  <c r="E81" i="20" s="1" a="1"/>
  <c r="E81" i="20" s="1"/>
  <c r="B81" i="20"/>
  <c r="D81" i="20" s="1" a="1"/>
  <c r="D81" i="20" s="1"/>
  <c r="F81" i="20" s="1" a="1"/>
  <c r="F81" i="20" s="1"/>
  <c r="A3" i="19"/>
  <c r="B3" i="19"/>
  <c r="C3" i="19"/>
  <c r="D3" i="19"/>
  <c r="A4" i="19"/>
  <c r="B4" i="19"/>
  <c r="C4" i="19"/>
  <c r="D4" i="19"/>
  <c r="A5" i="19"/>
  <c r="B5" i="19"/>
  <c r="C5" i="19"/>
  <c r="D5" i="19"/>
  <c r="A6" i="19"/>
  <c r="B6" i="19"/>
  <c r="C6" i="19"/>
  <c r="D6" i="19"/>
  <c r="A7" i="19"/>
  <c r="B7" i="19"/>
  <c r="C7" i="19"/>
  <c r="D7" i="19"/>
  <c r="A8" i="19"/>
  <c r="B8" i="19"/>
  <c r="C8" i="19"/>
  <c r="D8" i="19"/>
  <c r="A9" i="19"/>
  <c r="B9" i="19"/>
  <c r="C9" i="19"/>
  <c r="D9" i="19"/>
  <c r="A10" i="19"/>
  <c r="B10" i="19"/>
  <c r="C10" i="19"/>
  <c r="D10" i="19"/>
  <c r="A11" i="19"/>
  <c r="B11" i="19"/>
  <c r="C11" i="19"/>
  <c r="D11" i="19"/>
  <c r="A12" i="19"/>
  <c r="B12" i="19"/>
  <c r="C12" i="19"/>
  <c r="D12" i="19"/>
  <c r="A13" i="19"/>
  <c r="B13" i="19"/>
  <c r="C13" i="19"/>
  <c r="D13" i="19"/>
  <c r="A14" i="19"/>
  <c r="B14" i="19"/>
  <c r="C14" i="19"/>
  <c r="D14" i="19"/>
  <c r="A15" i="19"/>
  <c r="B15" i="19"/>
  <c r="C15" i="19"/>
  <c r="D15" i="19"/>
  <c r="A16" i="19"/>
  <c r="B16" i="19"/>
  <c r="C16" i="19"/>
  <c r="D16" i="19"/>
  <c r="A17" i="19"/>
  <c r="B17" i="19"/>
  <c r="C17" i="19"/>
  <c r="D17" i="19"/>
  <c r="A18" i="19"/>
  <c r="B18" i="19"/>
  <c r="C18" i="19"/>
  <c r="D18" i="19"/>
  <c r="A19" i="19"/>
  <c r="B19" i="19"/>
  <c r="C19" i="19"/>
  <c r="D19" i="19"/>
  <c r="A20" i="19"/>
  <c r="B20" i="19"/>
  <c r="C20" i="19"/>
  <c r="D20" i="19"/>
  <c r="A21" i="19"/>
  <c r="B21" i="19"/>
  <c r="C21" i="19"/>
  <c r="D21" i="19"/>
  <c r="A22" i="19"/>
  <c r="B22" i="19"/>
  <c r="C22" i="19"/>
  <c r="D22" i="19"/>
  <c r="A23" i="19"/>
  <c r="B23" i="19"/>
  <c r="C23" i="19"/>
  <c r="D23" i="19"/>
  <c r="A24" i="19"/>
  <c r="B24" i="19"/>
  <c r="C24" i="19"/>
  <c r="D24" i="19"/>
  <c r="A25" i="19"/>
  <c r="B25" i="19"/>
  <c r="C25" i="19"/>
  <c r="D25" i="19"/>
  <c r="A26" i="19"/>
  <c r="B26" i="19"/>
  <c r="C26" i="19"/>
  <c r="D26" i="19"/>
  <c r="A27" i="19"/>
  <c r="B27" i="19"/>
  <c r="C27" i="19"/>
  <c r="D27" i="19"/>
  <c r="A28" i="19"/>
  <c r="B28" i="19"/>
  <c r="C28" i="19"/>
  <c r="D28" i="19"/>
  <c r="A29" i="19"/>
  <c r="B29" i="19"/>
  <c r="C29" i="19"/>
  <c r="D29" i="19"/>
  <c r="A30" i="19"/>
  <c r="B30" i="19"/>
  <c r="C30" i="19"/>
  <c r="D30" i="19"/>
  <c r="A31" i="19"/>
  <c r="B31" i="19"/>
  <c r="C31" i="19"/>
  <c r="D31" i="19"/>
  <c r="A32" i="19"/>
  <c r="B32" i="19"/>
  <c r="C32" i="19"/>
  <c r="D32" i="19"/>
  <c r="A33" i="19"/>
  <c r="B33" i="19"/>
  <c r="C33" i="19"/>
  <c r="D33" i="19"/>
  <c r="A34" i="19"/>
  <c r="B34" i="19"/>
  <c r="C34" i="19"/>
  <c r="D34" i="19"/>
  <c r="A35" i="19"/>
  <c r="B35" i="19"/>
  <c r="C35" i="19"/>
  <c r="D35" i="19"/>
  <c r="A36" i="19"/>
  <c r="B36" i="19"/>
  <c r="C36" i="19"/>
  <c r="D36" i="19"/>
  <c r="A37" i="19"/>
  <c r="B37" i="19"/>
  <c r="C37" i="19"/>
  <c r="D37" i="19"/>
  <c r="A38" i="19"/>
  <c r="B38" i="19"/>
  <c r="C38" i="19"/>
  <c r="D38" i="19"/>
  <c r="A39" i="19"/>
  <c r="B39" i="19"/>
  <c r="C39" i="19"/>
  <c r="D39" i="19"/>
  <c r="A40" i="19"/>
  <c r="B40" i="19"/>
  <c r="C40" i="19"/>
  <c r="D40" i="19"/>
  <c r="A41" i="19"/>
  <c r="B41" i="19"/>
  <c r="C41" i="19"/>
  <c r="D41" i="19"/>
  <c r="A42" i="19"/>
  <c r="B42" i="19"/>
  <c r="C42" i="19"/>
  <c r="D42" i="19"/>
  <c r="A43" i="19"/>
  <c r="B43" i="19"/>
  <c r="C43" i="19"/>
  <c r="D43" i="19"/>
  <c r="A44" i="19"/>
  <c r="B44" i="19"/>
  <c r="C44" i="19"/>
  <c r="D44" i="19"/>
  <c r="A45" i="19"/>
  <c r="B45" i="19"/>
  <c r="C45" i="19"/>
  <c r="D45" i="19"/>
  <c r="A46" i="19"/>
  <c r="B46" i="19"/>
  <c r="C46" i="19"/>
  <c r="D46" i="19"/>
  <c r="A47" i="19"/>
  <c r="B47" i="19"/>
  <c r="C47" i="19"/>
  <c r="D47" i="19"/>
  <c r="A48" i="19"/>
  <c r="B48" i="19"/>
  <c r="C48" i="19"/>
  <c r="D48" i="19"/>
  <c r="A49" i="19"/>
  <c r="B49" i="19"/>
  <c r="C49" i="19"/>
  <c r="D49" i="19"/>
  <c r="A50" i="19"/>
  <c r="B50" i="19"/>
  <c r="C50" i="19"/>
  <c r="D50" i="19"/>
  <c r="A51" i="19"/>
  <c r="B51" i="19"/>
  <c r="C51" i="19"/>
  <c r="D51" i="19"/>
  <c r="A52" i="19"/>
  <c r="B52" i="19"/>
  <c r="C52" i="19"/>
  <c r="D52" i="19"/>
  <c r="A53" i="19"/>
  <c r="B53" i="19"/>
  <c r="C53" i="19"/>
  <c r="D53" i="19"/>
  <c r="A54" i="19"/>
  <c r="B54" i="19"/>
  <c r="C54" i="19"/>
  <c r="D54" i="19"/>
  <c r="A55" i="19"/>
  <c r="B55" i="19"/>
  <c r="C55" i="19"/>
  <c r="D55" i="19"/>
  <c r="A56" i="19"/>
  <c r="B56" i="19"/>
  <c r="C56" i="19"/>
  <c r="D56" i="19"/>
  <c r="A57" i="19"/>
  <c r="B57" i="19"/>
  <c r="C57" i="19"/>
  <c r="D57" i="19"/>
  <c r="A58" i="19"/>
  <c r="B58" i="19"/>
  <c r="C58" i="19"/>
  <c r="D58" i="19"/>
  <c r="A59" i="19"/>
  <c r="B59" i="19"/>
  <c r="C59" i="19"/>
  <c r="D59" i="19"/>
  <c r="A60" i="19"/>
  <c r="B60" i="19"/>
  <c r="C60" i="19"/>
  <c r="D60" i="19"/>
  <c r="A61" i="19"/>
  <c r="B61" i="19"/>
  <c r="C61" i="19"/>
  <c r="D61" i="19"/>
  <c r="A62" i="19"/>
  <c r="B62" i="19"/>
  <c r="C62" i="19"/>
  <c r="D62" i="19"/>
  <c r="A63" i="19"/>
  <c r="B63" i="19"/>
  <c r="C63" i="19"/>
  <c r="D63" i="19"/>
  <c r="A64" i="19"/>
  <c r="B64" i="19"/>
  <c r="C64" i="19"/>
  <c r="D64" i="19"/>
  <c r="A65" i="19"/>
  <c r="B65" i="19"/>
  <c r="C65" i="19"/>
  <c r="D65" i="19"/>
  <c r="A66" i="19"/>
  <c r="B66" i="19"/>
  <c r="C66" i="19"/>
  <c r="D66" i="19"/>
  <c r="A67" i="19"/>
  <c r="B67" i="19"/>
  <c r="C67" i="19"/>
  <c r="D67" i="19"/>
  <c r="A68" i="19"/>
  <c r="B68" i="19"/>
  <c r="C68" i="19"/>
  <c r="D68" i="19"/>
  <c r="A69" i="19"/>
  <c r="B69" i="19"/>
  <c r="C69" i="19"/>
  <c r="D69" i="19"/>
  <c r="A70" i="19"/>
  <c r="B70" i="19"/>
  <c r="C70" i="19"/>
  <c r="D70" i="19"/>
  <c r="A71" i="19"/>
  <c r="B71" i="19"/>
  <c r="C71" i="19"/>
  <c r="D71" i="19"/>
  <c r="A72" i="19"/>
  <c r="B72" i="19"/>
  <c r="C72" i="19"/>
  <c r="D72" i="19"/>
  <c r="A73" i="19"/>
  <c r="B73" i="19"/>
  <c r="C73" i="19"/>
  <c r="D73" i="19"/>
  <c r="A74" i="19"/>
  <c r="B74" i="19"/>
  <c r="C74" i="19"/>
  <c r="D74" i="19"/>
  <c r="A75" i="19"/>
  <c r="B75" i="19"/>
  <c r="C75" i="19"/>
  <c r="D75" i="19"/>
  <c r="A76" i="19"/>
  <c r="B76" i="19"/>
  <c r="C76" i="19"/>
  <c r="D76" i="19"/>
  <c r="A77" i="19"/>
  <c r="B77" i="19"/>
  <c r="C77" i="19"/>
  <c r="D77" i="19"/>
  <c r="A78" i="19"/>
  <c r="B78" i="19"/>
  <c r="C78" i="19"/>
  <c r="D78" i="19"/>
  <c r="A79" i="19"/>
  <c r="B79" i="19"/>
  <c r="C79" i="19"/>
  <c r="D79" i="19"/>
  <c r="A80" i="19"/>
  <c r="B80" i="19"/>
  <c r="C80" i="19"/>
  <c r="D80" i="19"/>
  <c r="A81" i="19"/>
  <c r="B81" i="19"/>
  <c r="C81" i="19"/>
  <c r="D81" i="19"/>
  <c r="B2" i="19"/>
  <c r="C2" i="19"/>
  <c r="D2" i="19"/>
  <c r="A2" i="19"/>
  <c r="A11" i="1"/>
  <c r="C9" i="1"/>
  <c r="A6" i="1" s="1"/>
  <c r="A112" i="1"/>
  <c r="B139" i="1"/>
  <c r="B138" i="1"/>
  <c r="B137" i="1"/>
  <c r="A136" i="1"/>
  <c r="B131" i="1"/>
  <c r="A132" i="1"/>
  <c r="B133" i="1"/>
  <c r="B134" i="1"/>
  <c r="B135" i="1"/>
  <c r="B130" i="1"/>
  <c r="B129" i="1"/>
  <c r="A128" i="1"/>
  <c r="B127" i="1"/>
  <c r="B126" i="1"/>
  <c r="B125" i="1"/>
  <c r="A124" i="1"/>
  <c r="B123" i="1"/>
  <c r="B122" i="1"/>
  <c r="B121" i="1"/>
  <c r="B120" i="1"/>
  <c r="A119" i="1"/>
  <c r="B115" i="1"/>
  <c r="B114" i="1"/>
  <c r="B113" i="1"/>
  <c r="B109" i="1"/>
  <c r="B111" i="1"/>
  <c r="B116" i="1"/>
  <c r="B98" i="1"/>
  <c r="B99" i="1"/>
  <c r="B101" i="1"/>
  <c r="B102" i="1"/>
  <c r="B103" i="1"/>
  <c r="B104" i="1"/>
  <c r="B106" i="1"/>
  <c r="B107" i="1"/>
  <c r="A108" i="1"/>
  <c r="A100" i="1"/>
  <c r="B100" i="1" s="1"/>
  <c r="B97" i="1"/>
  <c r="B92" i="1"/>
  <c r="B91" i="1"/>
  <c r="A90" i="1"/>
  <c r="B88" i="1"/>
  <c r="B85" i="1"/>
  <c r="A84" i="1"/>
  <c r="B82" i="1"/>
  <c r="B80" i="1"/>
  <c r="A79" i="1"/>
  <c r="B77" i="1"/>
  <c r="B75" i="1"/>
  <c r="A74" i="1"/>
  <c r="B72" i="1"/>
  <c r="B71" i="1"/>
  <c r="A70" i="1"/>
  <c r="B68" i="1"/>
  <c r="B66" i="1"/>
  <c r="B65" i="1"/>
  <c r="B64" i="1"/>
  <c r="A63" i="1"/>
  <c r="B62" i="1"/>
  <c r="B61" i="1"/>
  <c r="B60" i="1"/>
  <c r="A59" i="1"/>
  <c r="B58" i="1"/>
  <c r="B57" i="1"/>
  <c r="B56" i="1"/>
  <c r="B55" i="1"/>
  <c r="A54" i="1"/>
  <c r="B53" i="1"/>
  <c r="B52" i="1"/>
  <c r="B51" i="1"/>
  <c r="A50" i="1"/>
  <c r="B49" i="1"/>
  <c r="B48" i="1"/>
  <c r="B47" i="1"/>
  <c r="A46" i="1"/>
  <c r="B45" i="1"/>
  <c r="B44" i="1"/>
  <c r="B43" i="1"/>
  <c r="A42" i="1"/>
  <c r="B42" i="1" s="1"/>
  <c r="A35" i="1"/>
  <c r="AA5" i="8"/>
  <c r="A23" i="1"/>
  <c r="A15" i="1"/>
  <c r="B2" i="20"/>
  <c r="D2" i="20" s="1" a="1"/>
  <c r="D2" i="20" s="1"/>
  <c r="A2" i="20"/>
  <c r="C2" i="20" s="1" a="1"/>
  <c r="C2" i="20" s="1"/>
  <c r="E2" i="20" s="1" a="1"/>
  <c r="E2" i="20" s="1"/>
  <c r="E2" i="21"/>
  <c r="AF5" i="8"/>
  <c r="AC5" i="8"/>
  <c r="AB5" i="8"/>
  <c r="Z5" i="8"/>
  <c r="Y5" i="8"/>
  <c r="AE5" i="8" s="1"/>
  <c r="X5" i="8"/>
  <c r="W5" i="8"/>
  <c r="V5" i="8"/>
  <c r="U5" i="8"/>
  <c r="AD5" i="8" s="1"/>
  <c r="E3" i="21" l="1"/>
  <c r="E4" i="21" s="1"/>
  <c r="H78" i="20"/>
  <c r="H62" i="20"/>
  <c r="G43" i="20"/>
  <c r="H81" i="20"/>
  <c r="H80" i="20"/>
  <c r="H47" i="20"/>
  <c r="H46" i="20"/>
  <c r="C78" i="20" a="1"/>
  <c r="C78" i="20" s="1"/>
  <c r="E78" i="20" s="1" a="1"/>
  <c r="E78" i="20" s="1"/>
  <c r="G78" i="20" s="1"/>
  <c r="H77" i="20"/>
  <c r="H25" i="20"/>
  <c r="H66" i="20"/>
  <c r="H16" i="20"/>
  <c r="H65" i="20"/>
  <c r="H15" i="20"/>
  <c r="H79" i="20"/>
  <c r="H64" i="20"/>
  <c r="H14" i="20"/>
  <c r="H63" i="20"/>
  <c r="H13" i="20"/>
  <c r="H34" i="20"/>
  <c r="H33" i="20"/>
  <c r="H21" i="20"/>
  <c r="H12" i="20"/>
  <c r="H41" i="20"/>
  <c r="H32" i="20"/>
  <c r="H50" i="20"/>
  <c r="H11" i="20"/>
  <c r="H40" i="20"/>
  <c r="H49" i="20"/>
  <c r="H20" i="20"/>
  <c r="H48" i="20"/>
  <c r="H45" i="20"/>
  <c r="H76" i="20"/>
  <c r="H75" i="20"/>
  <c r="H59" i="20"/>
  <c r="H43" i="20"/>
  <c r="H27" i="20"/>
  <c r="H74" i="20"/>
  <c r="H58" i="20"/>
  <c r="H42" i="20"/>
  <c r="H26" i="20"/>
  <c r="H10" i="20"/>
  <c r="H61" i="20"/>
  <c r="H9" i="20"/>
  <c r="H72" i="20"/>
  <c r="H8" i="20"/>
  <c r="H71" i="20"/>
  <c r="H55" i="20"/>
  <c r="H39" i="20"/>
  <c r="H23" i="20"/>
  <c r="H7" i="20"/>
  <c r="H31" i="20"/>
  <c r="H28" i="20"/>
  <c r="H56" i="20"/>
  <c r="H70" i="20"/>
  <c r="H54" i="20"/>
  <c r="H38" i="20"/>
  <c r="H22" i="20"/>
  <c r="H6" i="20"/>
  <c r="H18" i="20"/>
  <c r="H17" i="20"/>
  <c r="H30" i="20"/>
  <c r="H44" i="20"/>
  <c r="H24" i="20"/>
  <c r="H69" i="20"/>
  <c r="H53" i="20"/>
  <c r="H37" i="20"/>
  <c r="H5" i="20"/>
  <c r="H57" i="20"/>
  <c r="H68" i="20"/>
  <c r="H52" i="20"/>
  <c r="H36" i="20"/>
  <c r="H4" i="20"/>
  <c r="H29" i="20"/>
  <c r="H60" i="20"/>
  <c r="H73" i="20"/>
  <c r="H67" i="20"/>
  <c r="H51" i="20"/>
  <c r="H35" i="20"/>
  <c r="H19" i="20"/>
  <c r="H3" i="20"/>
  <c r="G23" i="20"/>
  <c r="H2" i="20"/>
  <c r="G76" i="20"/>
  <c r="G58" i="20"/>
  <c r="G36" i="20"/>
  <c r="G57" i="20"/>
  <c r="G34" i="20"/>
  <c r="G46" i="20"/>
  <c r="G27" i="20"/>
  <c r="G5" i="20"/>
  <c r="G50" i="20"/>
  <c r="G30" i="20"/>
  <c r="G74" i="20"/>
  <c r="G10" i="20"/>
  <c r="G70" i="20"/>
  <c r="G18" i="20"/>
  <c r="G66" i="20"/>
  <c r="G79" i="20"/>
  <c r="G15" i="20"/>
  <c r="G65" i="20"/>
  <c r="G17" i="20"/>
  <c r="G31" i="20"/>
  <c r="G41" i="20"/>
  <c r="G33" i="20"/>
  <c r="G14" i="20"/>
  <c r="G69" i="20"/>
  <c r="G52" i="20"/>
  <c r="G73" i="20"/>
  <c r="G47" i="20"/>
  <c r="G64" i="20"/>
  <c r="G29" i="20"/>
  <c r="G53" i="20"/>
  <c r="G51" i="20"/>
  <c r="G63" i="20"/>
  <c r="G12" i="20"/>
  <c r="G6" i="20"/>
  <c r="G21" i="20"/>
  <c r="G37" i="20"/>
  <c r="G80" i="20"/>
  <c r="G9" i="20"/>
  <c r="G61" i="20"/>
  <c r="G4" i="20"/>
  <c r="G45" i="20"/>
  <c r="G28" i="20"/>
  <c r="G22" i="20"/>
  <c r="G49" i="20"/>
  <c r="G60" i="20"/>
  <c r="G67" i="20"/>
  <c r="G44" i="20"/>
  <c r="G25" i="20"/>
  <c r="G77" i="20"/>
  <c r="G54" i="20"/>
  <c r="G16" i="20"/>
  <c r="G40" i="20"/>
  <c r="G81" i="20"/>
  <c r="G72" i="20"/>
  <c r="G56" i="20"/>
  <c r="G32" i="20"/>
  <c r="G26" i="20"/>
  <c r="G7" i="20"/>
  <c r="G68" i="20"/>
  <c r="G13" i="20"/>
  <c r="G42" i="20"/>
  <c r="G8" i="20"/>
  <c r="G48" i="20"/>
  <c r="G20" i="20"/>
  <c r="G19" i="20"/>
  <c r="G39" i="20"/>
  <c r="G35" i="20"/>
  <c r="G71" i="20"/>
  <c r="G55" i="20"/>
  <c r="G38" i="20"/>
  <c r="G24" i="20"/>
  <c r="G75" i="20"/>
  <c r="G62" i="20"/>
  <c r="G59" i="20"/>
  <c r="G11" i="20"/>
  <c r="G3" i="20"/>
  <c r="F2" i="20" a="1"/>
  <c r="F2" i="20" s="1"/>
  <c r="G2" i="20" s="1"/>
  <c r="E19" i="19"/>
  <c r="E5" i="19"/>
  <c r="E46" i="19"/>
  <c r="E3" i="19"/>
  <c r="H3" i="19"/>
  <c r="E2" i="19"/>
  <c r="H2" i="19"/>
  <c r="E11" i="19"/>
  <c r="E77" i="19"/>
  <c r="E34" i="19"/>
  <c r="E14" i="19"/>
  <c r="E18" i="19"/>
  <c r="E7" i="19"/>
  <c r="E29" i="19"/>
  <c r="E53" i="19"/>
  <c r="E72" i="19"/>
  <c r="E6" i="19"/>
  <c r="E58" i="19"/>
  <c r="E24" i="19"/>
  <c r="E4" i="19"/>
  <c r="E62" i="19"/>
  <c r="E50" i="19"/>
  <c r="E43" i="19"/>
  <c r="E17" i="19"/>
  <c r="E8" i="19"/>
  <c r="E69" i="19"/>
  <c r="E10" i="19"/>
  <c r="E36" i="19"/>
  <c r="E59" i="19"/>
  <c r="E66" i="19"/>
  <c r="E65" i="19"/>
  <c r="E21" i="19"/>
  <c r="E20" i="19"/>
  <c r="E39" i="19"/>
  <c r="E56" i="19"/>
  <c r="E42" i="19"/>
  <c r="E49" i="19"/>
  <c r="E45" i="19"/>
  <c r="E52" i="19"/>
  <c r="E27" i="19"/>
  <c r="E74" i="19"/>
  <c r="E81" i="19"/>
  <c r="E23" i="19"/>
  <c r="E30" i="19"/>
  <c r="E26" i="19"/>
  <c r="E75" i="19"/>
  <c r="E55" i="19"/>
  <c r="E68" i="19"/>
  <c r="E13" i="19"/>
  <c r="E44" i="19"/>
  <c r="E76" i="19"/>
  <c r="E40" i="19"/>
  <c r="E71" i="19"/>
  <c r="E37" i="19"/>
  <c r="E33" i="19"/>
  <c r="E61" i="19"/>
  <c r="E78" i="19"/>
  <c r="E35" i="19"/>
  <c r="E64" i="19"/>
  <c r="E63" i="19"/>
  <c r="E80" i="19"/>
  <c r="E73" i="19"/>
  <c r="E28" i="19"/>
  <c r="E47" i="19"/>
  <c r="E9" i="19"/>
  <c r="E67" i="19"/>
  <c r="E15" i="19"/>
  <c r="E32" i="19"/>
  <c r="E38" i="19"/>
  <c r="E31" i="19"/>
  <c r="E54" i="19"/>
  <c r="E12" i="19"/>
  <c r="E22" i="19"/>
  <c r="E70" i="19"/>
  <c r="E60" i="19"/>
  <c r="E25" i="19"/>
  <c r="E79" i="19"/>
  <c r="E48" i="19"/>
  <c r="E41" i="19"/>
  <c r="E57" i="19"/>
  <c r="E51" i="19"/>
  <c r="E16" i="19"/>
  <c r="B59" i="1"/>
  <c r="B50" i="1"/>
  <c r="B46" i="1"/>
  <c r="B54" i="1"/>
  <c r="B63" i="1"/>
  <c r="B15" i="1"/>
  <c r="B11" i="1"/>
  <c r="B3" i="21"/>
  <c r="B6" i="1"/>
  <c r="E5" i="21" l="1"/>
  <c r="E6" i="21" s="1"/>
  <c r="E7" i="21" s="1"/>
  <c r="E8" i="21" s="1"/>
  <c r="E9" i="21" s="1"/>
  <c r="E10" i="21" s="1"/>
  <c r="E11" i="21" s="1"/>
  <c r="E12" i="21" s="1"/>
  <c r="E13" i="21" s="1"/>
  <c r="E14" i="21" s="1"/>
  <c r="E15" i="21" s="1"/>
  <c r="E16" i="21" s="1"/>
  <c r="E17" i="21" s="1"/>
  <c r="E18" i="21" s="1"/>
  <c r="E19" i="21" s="1"/>
  <c r="E20" i="21" s="1"/>
  <c r="E21" i="21" s="1"/>
  <c r="E22" i="21" s="1"/>
  <c r="E23" i="21" s="1"/>
  <c r="E24" i="21" s="1"/>
  <c r="E25" i="21" s="1"/>
  <c r="E26" i="21" s="1"/>
  <c r="E27" i="21" s="1"/>
  <c r="E28" i="21" s="1"/>
  <c r="E29" i="21" s="1"/>
  <c r="E30" i="21" s="1"/>
  <c r="E31" i="21" s="1"/>
  <c r="E32" i="21" s="1"/>
  <c r="E33" i="21" s="1"/>
  <c r="E34" i="21" s="1"/>
  <c r="E35" i="21" s="1"/>
  <c r="E36" i="21" s="1"/>
  <c r="E37" i="21" s="1"/>
  <c r="E38" i="21" s="1"/>
  <c r="E39" i="21" s="1"/>
  <c r="E40" i="21" s="1"/>
  <c r="E41" i="21" s="1"/>
  <c r="E42" i="21" s="1"/>
  <c r="M5" i="20"/>
  <c r="M6" i="20"/>
  <c r="M4" i="20"/>
  <c r="M2" i="20"/>
  <c r="H11" i="19"/>
  <c r="I11" i="19" s="1"/>
  <c r="H7" i="19"/>
  <c r="I7" i="19" s="1"/>
  <c r="H9" i="19"/>
  <c r="I9" i="19" s="1"/>
  <c r="C31" i="1" s="1"/>
  <c r="A28" i="1" s="1"/>
  <c r="H10" i="19"/>
  <c r="I10" i="19" s="1"/>
  <c r="H8" i="19"/>
  <c r="I8" i="19" s="1"/>
  <c r="A1" i="8"/>
  <c r="G1" i="21" l="1"/>
  <c r="B2" i="8"/>
  <c r="C3" i="8" s="1"/>
  <c r="C2" i="8" s="1"/>
  <c r="C13" i="8" l="1"/>
  <c r="C10" i="8"/>
  <c r="C6" i="8"/>
  <c r="A67" i="1" s="1"/>
  <c r="B1" i="8"/>
  <c r="C4" i="8"/>
  <c r="D13" i="8" l="1"/>
  <c r="C105" i="1" s="1"/>
  <c r="A105" i="1"/>
  <c r="D14" i="8"/>
  <c r="C106" i="1" s="1"/>
  <c r="B67" i="1"/>
  <c r="B70" i="1"/>
  <c r="B79" i="1"/>
  <c r="B84" i="1"/>
  <c r="B90" i="1"/>
  <c r="B74" i="1"/>
  <c r="D10" i="8"/>
  <c r="C67" i="1" s="1"/>
  <c r="A20" i="1"/>
  <c r="D7" i="8"/>
  <c r="C21" i="1" s="1"/>
  <c r="D6" i="8"/>
  <c r="C20" i="1" s="1"/>
  <c r="D1" i="1"/>
  <c r="B136" i="1" l="1"/>
  <c r="B112" i="1"/>
  <c r="B128" i="1"/>
  <c r="B132" i="1"/>
  <c r="B119" i="1"/>
  <c r="B124" i="1"/>
  <c r="B110" i="1"/>
  <c r="B108" i="1"/>
  <c r="B105" i="1"/>
  <c r="B117" i="1"/>
  <c r="B33" i="1"/>
  <c r="B28" i="1"/>
  <c r="B23" i="1"/>
  <c r="B20" i="1"/>
  <c r="B35" i="1"/>
  <c r="E1"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D2090E1-1345-4318-B722-21326A0F2BD0}" keepAlive="1" name="Query - Countries and dependencies by area" description="Connection to the 'Countries and dependencies by area' query in the workbook." type="5" refreshedVersion="7" background="1" saveData="1">
    <dbPr connection="Provider=Microsoft.Mashup.OleDb.1;Data Source=$Workbook$;Location=&quot;Countries and dependencies by area&quot;;Extended Properties=&quot;&quot;" command="SELECT * FROM [Countries and dependencies by area]"/>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<sst xmlns="http://schemas.openxmlformats.org/spreadsheetml/2006/main" count="432" uniqueCount="421">
  <si>
    <t>Austin</t>
  </si>
  <si>
    <t>ID</t>
  </si>
  <si>
    <t>unknown</t>
  </si>
  <si>
    <t>unknown2</t>
  </si>
  <si>
    <t>unknown3</t>
  </si>
  <si>
    <t>unknown4</t>
  </si>
  <si>
    <t>jimM</t>
  </si>
  <si>
    <t>Aakriti</t>
  </si>
  <si>
    <t>Brandon</t>
  </si>
  <si>
    <t>Amir</t>
  </si>
  <si>
    <t xml:space="preserve">Mahdiyar </t>
  </si>
  <si>
    <t>Soudeh</t>
  </si>
  <si>
    <t>Homa</t>
  </si>
  <si>
    <t>Alaa Mohamad</t>
  </si>
  <si>
    <t>Faiez</t>
  </si>
  <si>
    <t>Marwan</t>
  </si>
  <si>
    <t>Pavle</t>
  </si>
  <si>
    <t>Aryan</t>
  </si>
  <si>
    <t>Resham</t>
  </si>
  <si>
    <t>Sena</t>
  </si>
  <si>
    <t>Allan James</t>
  </si>
  <si>
    <t>Yuki</t>
  </si>
  <si>
    <t>Rahul</t>
  </si>
  <si>
    <t>Jacob Matthew</t>
  </si>
  <si>
    <t>Antaeus Julien</t>
  </si>
  <si>
    <t>Zakir</t>
  </si>
  <si>
    <t>Alim Karim</t>
  </si>
  <si>
    <t>Anuj</t>
  </si>
  <si>
    <t>Yuan</t>
  </si>
  <si>
    <t>Sage Derek Christopher</t>
  </si>
  <si>
    <t>Liam Patrick</t>
  </si>
  <si>
    <t>Yihan</t>
  </si>
  <si>
    <t>Vu Luong Hoan</t>
  </si>
  <si>
    <t>Xiaoai</t>
  </si>
  <si>
    <t>Yunong</t>
  </si>
  <si>
    <t>Julien Andrew</t>
  </si>
  <si>
    <t>Yoonjae</t>
  </si>
  <si>
    <t>Yanmiao</t>
  </si>
  <si>
    <t>Gurleen Kaur</t>
  </si>
  <si>
    <t>Angela</t>
  </si>
  <si>
    <t>Chloe</t>
  </si>
  <si>
    <t>Deanna</t>
  </si>
  <si>
    <t>Erick</t>
  </si>
  <si>
    <t>Henry Yu Heng</t>
  </si>
  <si>
    <t>Linyin</t>
  </si>
  <si>
    <t>Qingling</t>
  </si>
  <si>
    <t>Rongdan</t>
  </si>
  <si>
    <t>Terry Yi Fan</t>
  </si>
  <si>
    <t>Weizhi</t>
  </si>
  <si>
    <t>Xinyi</t>
  </si>
  <si>
    <t>Chloe Ellen</t>
  </si>
  <si>
    <t>Kristen Victoria</t>
  </si>
  <si>
    <t>Brian</t>
  </si>
  <si>
    <t>Matthew James</t>
  </si>
  <si>
    <t>Yi</t>
  </si>
  <si>
    <t>Luke Patrick Paul</t>
  </si>
  <si>
    <t>Nicholas Jun</t>
  </si>
  <si>
    <t>Seth Joshua</t>
  </si>
  <si>
    <t>Minzhe</t>
  </si>
  <si>
    <t>Nan</t>
  </si>
  <si>
    <t>Yang</t>
  </si>
  <si>
    <t>Yue</t>
  </si>
  <si>
    <t>Martin</t>
  </si>
  <si>
    <t>Daniel Victor</t>
  </si>
  <si>
    <t>Wasilij</t>
  </si>
  <si>
    <t>Hannah Taylor</t>
  </si>
  <si>
    <t>Zoe Kristen</t>
  </si>
  <si>
    <t>Benjamin Talbot</t>
  </si>
  <si>
    <t>Yuanming</t>
  </si>
  <si>
    <t>Jun An</t>
  </si>
  <si>
    <t>Wenxi</t>
  </si>
  <si>
    <t>Mohamad</t>
  </si>
  <si>
    <t>Yueyue</t>
  </si>
  <si>
    <t>Anne</t>
  </si>
  <si>
    <t>Muhammad Jibran</t>
  </si>
  <si>
    <t>Yaning</t>
  </si>
  <si>
    <t>Tracy</t>
  </si>
  <si>
    <t>Nathen</t>
  </si>
  <si>
    <t>Rodolfo Enrique</t>
  </si>
  <si>
    <t>Mason Basilio</t>
  </si>
  <si>
    <t>Bryan Kenneth</t>
  </si>
  <si>
    <t>Xueying</t>
  </si>
  <si>
    <t>Chang</t>
  </si>
  <si>
    <t>Prachi Niteshkumar</t>
  </si>
  <si>
    <t>Emily Hannah</t>
  </si>
  <si>
    <t>Lucas Frank</t>
  </si>
  <si>
    <t>Lingya</t>
  </si>
  <si>
    <t>Alan</t>
  </si>
  <si>
    <t>Jiayi</t>
  </si>
  <si>
    <t>Kelly</t>
  </si>
  <si>
    <t>Eyoel Asfaw</t>
  </si>
  <si>
    <t>Baizhou</t>
  </si>
  <si>
    <t>Mengyu</t>
  </si>
  <si>
    <t>Nicole</t>
  </si>
  <si>
    <t>Luke Fredrick Peter</t>
  </si>
  <si>
    <t>Isaiah</t>
  </si>
  <si>
    <t>Shenghua</t>
  </si>
  <si>
    <t>Valerie Simone</t>
  </si>
  <si>
    <t>Ryan</t>
  </si>
  <si>
    <t>Cathy</t>
  </si>
  <si>
    <t>Junming</t>
  </si>
  <si>
    <t>Guanjie</t>
  </si>
  <si>
    <t>Jacky</t>
  </si>
  <si>
    <t>Jun</t>
  </si>
  <si>
    <t>Zhiqian</t>
  </si>
  <si>
    <t>Jason</t>
  </si>
  <si>
    <t>Weihao</t>
  </si>
  <si>
    <t>Chen</t>
  </si>
  <si>
    <t>Yongcheng</t>
  </si>
  <si>
    <t>Yuzhou</t>
  </si>
  <si>
    <t>Xianzhu</t>
  </si>
  <si>
    <t>Truman Alexander</t>
  </si>
  <si>
    <t>Natalie</t>
  </si>
  <si>
    <t>Shajan</t>
  </si>
  <si>
    <t>Da Xin</t>
  </si>
  <si>
    <t>Grace</t>
  </si>
  <si>
    <t>Jian</t>
  </si>
  <si>
    <t>Avanti</t>
  </si>
  <si>
    <t>Varun</t>
  </si>
  <si>
    <t>Bona</t>
  </si>
  <si>
    <t>Lili</t>
  </si>
  <si>
    <t>Youngwon</t>
  </si>
  <si>
    <t>Keawna Rose</t>
  </si>
  <si>
    <t>Annie</t>
  </si>
  <si>
    <t>Kenneth Jonathan</t>
  </si>
  <si>
    <t>Sean Xian Jia</t>
  </si>
  <si>
    <t>Boris</t>
  </si>
  <si>
    <t>Fiona</t>
  </si>
  <si>
    <t>Prishni</t>
  </si>
  <si>
    <t>Jiahao</t>
  </si>
  <si>
    <t>James Ben-Jin</t>
  </si>
  <si>
    <t>Michael Joseph</t>
  </si>
  <si>
    <t>Minhyeok</t>
  </si>
  <si>
    <t>David Chi-Ho</t>
  </si>
  <si>
    <t>Valarie</t>
  </si>
  <si>
    <t>Danielle</t>
  </si>
  <si>
    <t>Brian Yi-Kun</t>
  </si>
  <si>
    <t>Christopher</t>
  </si>
  <si>
    <t>Ethan</t>
  </si>
  <si>
    <t>Jiate</t>
  </si>
  <si>
    <t>Jingyu</t>
  </si>
  <si>
    <t>Kevin Hua</t>
  </si>
  <si>
    <t>Shanshan</t>
  </si>
  <si>
    <t>Tianhao</t>
  </si>
  <si>
    <t>Wenhao</t>
  </si>
  <si>
    <t>Xiaoci</t>
  </si>
  <si>
    <t>Zhengwen</t>
  </si>
  <si>
    <t>Fengying</t>
  </si>
  <si>
    <t>Xiangyuan</t>
  </si>
  <si>
    <t>Yuhan</t>
  </si>
  <si>
    <t>Linda</t>
  </si>
  <si>
    <t>Catherine</t>
  </si>
  <si>
    <t>Derek</t>
  </si>
  <si>
    <t>Jialing</t>
  </si>
  <si>
    <t>John Guangxu</t>
  </si>
  <si>
    <t>Tong</t>
  </si>
  <si>
    <t>Yabin</t>
  </si>
  <si>
    <t>Yulin</t>
  </si>
  <si>
    <t>Christian</t>
  </si>
  <si>
    <t>Emma</t>
  </si>
  <si>
    <t>Lan</t>
  </si>
  <si>
    <t>Sophia</t>
  </si>
  <si>
    <t>Anny</t>
  </si>
  <si>
    <t>Sienna</t>
  </si>
  <si>
    <t>Yuting</t>
  </si>
  <si>
    <t>Stuart Atton</t>
  </si>
  <si>
    <t>Prabhneet</t>
  </si>
  <si>
    <t>Karsten Lucas</t>
  </si>
  <si>
    <t>Kiana</t>
  </si>
  <si>
    <t>Liam</t>
  </si>
  <si>
    <t>Samuel Henry</t>
  </si>
  <si>
    <t>Brendan David</t>
  </si>
  <si>
    <t>Michael</t>
  </si>
  <si>
    <t>Bradley David Reese</t>
  </si>
  <si>
    <t>Tomas</t>
  </si>
  <si>
    <t>Rachel</t>
  </si>
  <si>
    <t>Nishta</t>
  </si>
  <si>
    <t>Shu</t>
  </si>
  <si>
    <t>Chenfei</t>
  </si>
  <si>
    <t>Shaojie</t>
  </si>
  <si>
    <t>Ziyi</t>
  </si>
  <si>
    <t>Hamneet</t>
  </si>
  <si>
    <t>Reshad</t>
  </si>
  <si>
    <t>Runzi</t>
  </si>
  <si>
    <t>Armeen</t>
  </si>
  <si>
    <t>Justin</t>
  </si>
  <si>
    <t>Tyler</t>
  </si>
  <si>
    <t>Brielle</t>
  </si>
  <si>
    <t>Julia</t>
  </si>
  <si>
    <t>Xinyan</t>
  </si>
  <si>
    <t>Yiran</t>
  </si>
  <si>
    <t>Jannatul Mawa</t>
  </si>
  <si>
    <t>Zahin</t>
  </si>
  <si>
    <t>Xiaoshan</t>
  </si>
  <si>
    <t>Zhikang</t>
  </si>
  <si>
    <t>Rishi Kumar</t>
  </si>
  <si>
    <t>Mingxuan</t>
  </si>
  <si>
    <t>Sharon Ding Jiaoyi</t>
  </si>
  <si>
    <t>Yuewei</t>
  </si>
  <si>
    <t>Balan Jayaraj</t>
  </si>
  <si>
    <t>Gradyn Day</t>
  </si>
  <si>
    <t>Jordan Matthew</t>
  </si>
  <si>
    <t>Alishan</t>
  </si>
  <si>
    <t>Ke</t>
  </si>
  <si>
    <t>Ali</t>
  </si>
  <si>
    <t>Feijie</t>
  </si>
  <si>
    <t>Emmeline</t>
  </si>
  <si>
    <t>Xuying</t>
  </si>
  <si>
    <t>Zeiad</t>
  </si>
  <si>
    <t>Aviv</t>
  </si>
  <si>
    <t>Rafael</t>
  </si>
  <si>
    <t>Yoshan</t>
  </si>
  <si>
    <t>Arjun S</t>
  </si>
  <si>
    <t>Roxana</t>
  </si>
  <si>
    <t>Irfan Rahul</t>
  </si>
  <si>
    <t>Amay</t>
  </si>
  <si>
    <t>Jiawang</t>
  </si>
  <si>
    <t>Kevin</t>
  </si>
  <si>
    <t>Ruoyun</t>
  </si>
  <si>
    <t>Hengming</t>
  </si>
  <si>
    <t>Sehaj</t>
  </si>
  <si>
    <t>Landen</t>
  </si>
  <si>
    <t>Yidan</t>
  </si>
  <si>
    <t>SIDDHARTH</t>
  </si>
  <si>
    <t>Basil</t>
  </si>
  <si>
    <t>Allison</t>
  </si>
  <si>
    <t>Avril</t>
  </si>
  <si>
    <t>Guo Han</t>
  </si>
  <si>
    <t>Yuxuan</t>
  </si>
  <si>
    <t>Zixin</t>
  </si>
  <si>
    <t>Briana</t>
  </si>
  <si>
    <t>Katelynn</t>
  </si>
  <si>
    <t>Joseph Arthur</t>
  </si>
  <si>
    <t>Matthew Owen</t>
  </si>
  <si>
    <t>Kandy</t>
  </si>
  <si>
    <t>Zihui</t>
  </si>
  <si>
    <t>Jane</t>
  </si>
  <si>
    <t>Nicholas John</t>
  </si>
  <si>
    <t>Mausam</t>
  </si>
  <si>
    <t>Brianna Lynne</t>
  </si>
  <si>
    <t>Emily Michelle</t>
  </si>
  <si>
    <t>Miren</t>
  </si>
  <si>
    <t>David</t>
  </si>
  <si>
    <t>Haoyu</t>
  </si>
  <si>
    <t>Jax</t>
  </si>
  <si>
    <t>Jingwen</t>
  </si>
  <si>
    <t>Shitong</t>
  </si>
  <si>
    <t>Shiyuan</t>
  </si>
  <si>
    <t>Tianyu</t>
  </si>
  <si>
    <t>Wesley</t>
  </si>
  <si>
    <t>Yangsijia</t>
  </si>
  <si>
    <t>Zixuan</t>
  </si>
  <si>
    <t>Wenlong</t>
  </si>
  <si>
    <t>Jared Mitchell</t>
  </si>
  <si>
    <t>Xin</t>
  </si>
  <si>
    <t>Hanxin</t>
  </si>
  <si>
    <t>Sandy</t>
  </si>
  <si>
    <t>Stephanie</t>
  </si>
  <si>
    <t>Geoffrey</t>
  </si>
  <si>
    <t>Yaodan</t>
  </si>
  <si>
    <t>Eric Xinming</t>
  </si>
  <si>
    <t>Yangxuan</t>
  </si>
  <si>
    <t>Yifei</t>
  </si>
  <si>
    <t>Wai Sze</t>
  </si>
  <si>
    <t>Dexter</t>
  </si>
  <si>
    <t>Haoyuan</t>
  </si>
  <si>
    <t>Liyi</t>
  </si>
  <si>
    <t>Xunqi</t>
  </si>
  <si>
    <t>Emily Yiran</t>
  </si>
  <si>
    <t>Haoni</t>
  </si>
  <si>
    <t>Jingyi</t>
  </si>
  <si>
    <t>Michael Fengwei</t>
  </si>
  <si>
    <t>Wenjing</t>
  </si>
  <si>
    <t>Wenkaixuan</t>
  </si>
  <si>
    <t>Tinglin</t>
  </si>
  <si>
    <t>Jiake</t>
  </si>
  <si>
    <t>Jiali</t>
  </si>
  <si>
    <t>Jinyang</t>
  </si>
  <si>
    <t>Tian Le</t>
  </si>
  <si>
    <t>Xiaoyi</t>
  </si>
  <si>
    <t>Xuen</t>
  </si>
  <si>
    <t>MingXuan</t>
  </si>
  <si>
    <t>Catherine Xiwen</t>
  </si>
  <si>
    <t>Cindy Jia</t>
  </si>
  <si>
    <t>Ernest Zhongyao</t>
  </si>
  <si>
    <t>Judy</t>
  </si>
  <si>
    <t>Michael D</t>
  </si>
  <si>
    <t>Shiyao</t>
  </si>
  <si>
    <t>Tingyan</t>
  </si>
  <si>
    <t>Xiaowei</t>
  </si>
  <si>
    <t>Lingyu</t>
  </si>
  <si>
    <t>RUNZE</t>
  </si>
  <si>
    <t>Max De</t>
  </si>
  <si>
    <t>Derica</t>
  </si>
  <si>
    <t>Yan</t>
  </si>
  <si>
    <t>Boxuan</t>
  </si>
  <si>
    <t>Linqi</t>
  </si>
  <si>
    <t>Yifan</t>
  </si>
  <si>
    <t>Yilei</t>
  </si>
  <si>
    <t>Steve</t>
  </si>
  <si>
    <t>&lt;Enter your student id # in C1&gt;</t>
  </si>
  <si>
    <t>Task 2</t>
  </si>
  <si>
    <t>=randomPick(5,40,$N1:O1)</t>
  </si>
  <si>
    <t>=randomPick(5,40,$N1:P1)</t>
  </si>
  <si>
    <t>Task 1</t>
  </si>
  <si>
    <t>Task 3</t>
  </si>
  <si>
    <t>⚀</t>
  </si>
  <si>
    <t>⚁</t>
  </si>
  <si>
    <t>⚂</t>
  </si>
  <si>
    <t>⚃</t>
  </si>
  <si>
    <t>⚄</t>
  </si>
  <si>
    <t>⚅</t>
  </si>
  <si>
    <t xml:space="preserve">This lab should help introduce some ideas on Simulation. </t>
  </si>
  <si>
    <t>cash</t>
  </si>
  <si>
    <t>Total seats</t>
  </si>
  <si>
    <t>initial # 5s</t>
  </si>
  <si>
    <t># 5s</t>
  </si>
  <si>
    <t>min # 5s</t>
  </si>
  <si>
    <t>initial</t>
  </si>
  <si>
    <t>no waits</t>
  </si>
  <si>
    <t>waits</t>
  </si>
  <si>
    <t>dice1</t>
  </si>
  <si>
    <t>dice2</t>
  </si>
  <si>
    <t>roll</t>
  </si>
  <si>
    <t>black</t>
  </si>
  <si>
    <t>orange</t>
  </si>
  <si>
    <t>blue</t>
  </si>
  <si>
    <t>win</t>
  </si>
  <si>
    <t>unicode</t>
  </si>
  <si>
    <t>d1 vs. d2</t>
  </si>
  <si>
    <t>roll1</t>
  </si>
  <si>
    <t>roll2</t>
  </si>
  <si>
    <t>value1</t>
  </si>
  <si>
    <t>value2</t>
  </si>
  <si>
    <t>% win</t>
  </si>
  <si>
    <t>coin 1</t>
  </si>
  <si>
    <t>coin 2</t>
  </si>
  <si>
    <t>coin 3</t>
  </si>
  <si>
    <t>coin 4</t>
  </si>
  <si>
    <t># Heads</t>
  </si>
  <si>
    <t xml:space="preserve">Coin simulation: is this a fair Game? </t>
  </si>
  <si>
    <t>Your best friend and you alternate who buys dinner. Sometimes you both forget which of you bought the last dinner. To remedy the problem, your friend proposes that one of you flip four coins and if split evenly 2 heads and 2 tails, she/he will buy dinner otherwise you buy dinner.  Why not simply one coin? The extra drama is more fun!</t>
  </si>
  <si>
    <t xml:space="preserve">Create a formula which produce an H or a T to simulate a coin toss. </t>
  </si>
  <si>
    <t xml:space="preserve">Show the text of your formula below.  (hint: Use rand()&gt;0.5 combined with an IF) </t>
  </si>
  <si>
    <t xml:space="preserve">Show the text of your formula below. </t>
  </si>
  <si>
    <t>Show the text of your formula below. Verify that it works.</t>
  </si>
  <si>
    <t>coin numbers</t>
  </si>
  <si>
    <t>If you wanted to simulate a coin that was not fair, and %53 of the time it came up heads what would you have to change in the above formula?</t>
  </si>
  <si>
    <t>Copy the fair coin formula from #1 into coins!A2:D2. Use a COUNTIF() to count the number of H's in the row</t>
  </si>
  <si>
    <t>#</t>
  </si>
  <si>
    <t>Create a small table in coins!G1:H3 showing the number of Hs and Ts that are in coins!a:d.</t>
  </si>
  <si>
    <t>Are the results surprising? What happens when you put a 1 in coins!J1?</t>
  </si>
  <si>
    <t>H/T</t>
  </si>
  <si>
    <t>count</t>
  </si>
  <si>
    <t>What is the percentage of times that the number of Hs was 2?</t>
  </si>
  <si>
    <t>From the simulations, would this that using 4 coins splitting evenly method of deciding who pays for dinner is fair?</t>
  </si>
  <si>
    <t>Create a small table in coins!G6:H11 showing how many times the number of heads is a particular number. (You table should summarize column E)</t>
  </si>
  <si>
    <t xml:space="preserve">A friend who likes to play games, shows you some strange dice—although they have six sides they don’t have the numbers one through six on them.  There are three: a black die with these numbers on its sides 3, 3, 3, 3, 3, 6; an orange die these numbers 2, 2, 2, 5, 5,  5; and a blue die with these numbers 1, 4, 4, 4, 4, 4.  In the game, each player selects a die and the repeated rolls simultaneously and the player who has the higher roll wins the round.  The first player to win 15 rounds wins.  You friend being courteous, say that you can choose your dice first.  Which die is the best?  </t>
  </si>
  <si>
    <t>Crazy dice. Which one is the best?</t>
  </si>
  <si>
    <t>The dice sheet is already set up for the determining the best die. Describe what dice!A2 is doing.</t>
  </si>
  <si>
    <t>Click on the formula in dice!C2. Describe the function and its arguments.  Also, what is the purpose of the this C2?</t>
  </si>
  <si>
    <t>Click on the formula in dice!E2. Describe the function and its arguments.  Also, what is the purpose of the this E2?</t>
  </si>
  <si>
    <t>What is the name of "translate" and "dice" in dice!C2 and dice!E2? Notice how it makes the formulas easier to read.</t>
  </si>
  <si>
    <t>Create a formula in dice!G2, which returns 1 if the die in column E wins and a -1 if die in column F wins. Put that formula below as text.</t>
  </si>
  <si>
    <t>Why are we not worried about the case where C2=D2?</t>
  </si>
  <si>
    <t>Visually verify that the rows are given possible outcomes of rolls with the black and orange dice</t>
  </si>
  <si>
    <t>black vs. orange</t>
  </si>
  <si>
    <t>Create a formula in dice!M2, which finds the percentage wins. Put that formula below as text.</t>
  </si>
  <si>
    <t>Copy dice!M2 and paste using "paste values" into dice!M4</t>
  </si>
  <si>
    <t>What does this value suggest about which die is better?</t>
  </si>
  <si>
    <t>Change the dice!J1 from 2 to 3</t>
  </si>
  <si>
    <t>What happened with the colouring?  What Excel tool is responsible?</t>
  </si>
  <si>
    <t>orange vs. blue</t>
  </si>
  <si>
    <t xml:space="preserve">blue vs. black </t>
  </si>
  <si>
    <t>Change diceI1 and dice!J1 to find numbers for "blue vs. black" and "orange vs. blue"</t>
  </si>
  <si>
    <t>You may need to let it simulate a few iterations to convince yourself that the numbers generally more than 55%</t>
  </si>
  <si>
    <t>What does this this tell us about find the best die?</t>
  </si>
  <si>
    <t>Was your friend being courteous by offering you to select your die first?</t>
  </si>
  <si>
    <t>Insert a bar graph showing the data from coins!H6:H11</t>
  </si>
  <si>
    <t>Entrance fee $5 (but so many bring tens…).  How many fives should you start with?</t>
  </si>
  <si>
    <t>=RANDBETWEEN(6,10)*5</t>
  </si>
  <si>
    <t>See task 1.1</t>
  </si>
  <si>
    <t>Imagine you are manning a gate at an event which has an entrance fee of $5. Since it can be hectic at gates, you would like to avoid to have people waiting for change if they only brought a $10 bill.  This simulation is will consider any needing to wait for change as failure.  The spreadsheet fiveTen will be trying to simulate a line where people arrive have equal chances of having a 5 or 10. Given a certain number of seats for the event. How many 5 dollar bills should you start with so that it will be likely (more than 80% of the time) that no one will wait for change?</t>
  </si>
  <si>
    <t>Create a formula which produce an 5 or 10 in  fiveTen!D3</t>
  </si>
  <si>
    <t>Create a formula in fiveTen!E3 which lookat the value of D3 and returns one less than E2 if D3 was a 10 and one more than E2 if D3 was a 5.</t>
  </si>
  <si>
    <t>In fiveTen!G1 calculate the minimum in Column E</t>
  </si>
  <si>
    <t>Create a button to trigger the subroutine fiveTen.</t>
  </si>
  <si>
    <t>Insert a line graph showing the data from Column E</t>
  </si>
  <si>
    <t>Get a sense for what is going on by changing the initial # of 5's in fiveTen!B2</t>
  </si>
  <si>
    <t>What would be a reasonable range of initial 5's that would likely contain the values with less 70% sucess rate and values with over 80% success rate</t>
  </si>
  <si>
    <t>Open up the VBA code and the subroutine fiveTen().  What is Cells(i,9) initially refering to?</t>
  </si>
  <si>
    <t>(hint: it's a cell in the fiveTen sheet)</t>
  </si>
  <si>
    <t>In the VBA code, what is Cells(2,2) refering to? What does it mean?</t>
  </si>
  <si>
    <t>In the VBA code, what is Cells(1,7) refering to? What does it mean?</t>
  </si>
  <si>
    <t>Put a list of values (the range for testing --set Task3.6) in I2:I* and hit your button.  What happened?</t>
  </si>
  <si>
    <t>What is the advantage of using VBA to run Simulations over using only Exel like in Task3.6</t>
  </si>
  <si>
    <t>Change the &gt;0.5 into &gt;0.47</t>
    <phoneticPr fontId="3" type="noConversion"/>
  </si>
  <si>
    <t>=countif(coins!A2:D2,"H")</t>
    <phoneticPr fontId="3" type="noConversion"/>
  </si>
  <si>
    <t>H</t>
    <phoneticPr fontId="3" type="noConversion"/>
  </si>
  <si>
    <t>T</t>
    <phoneticPr fontId="3" type="noConversion"/>
  </si>
  <si>
    <t>result are not surprising, they are about 50% to have H. When put a 1 in J1, all columns recalculate themselves</t>
    <phoneticPr fontId="3" type="noConversion"/>
  </si>
  <si>
    <t>No its not fair because the probability of each situation is not close</t>
    <phoneticPr fontId="3" type="noConversion"/>
  </si>
  <si>
    <t>dice!A2 is generating a random number between 1 to 6</t>
    <phoneticPr fontId="3" type="noConversion"/>
  </si>
  <si>
    <t>the function locate at dice!T2:V7, which is renamed as translate, at row number A2, column number I1. The whole function is a translator from normal dice to the wizard number ones. In C2 specifically, its dice 3,3,3,3,3,6</t>
    <phoneticPr fontId="3" type="noConversion"/>
  </si>
  <si>
    <t>the function locate at dice!R2:R7, which is renamed as dice, at row number A2. The whole function is a translator from side number into graph</t>
    <phoneticPr fontId="3" type="noConversion"/>
  </si>
  <si>
    <t>named range</t>
    <phoneticPr fontId="3" type="noConversion"/>
  </si>
  <si>
    <t>as determined in previous questions</t>
    <phoneticPr fontId="3" type="noConversion"/>
  </si>
  <si>
    <t>=IF(E2&gt;F2,1,-1)</t>
    <phoneticPr fontId="3" type="noConversion"/>
  </si>
  <si>
    <t>because they referred to dice black and orange which are the dices that have no common sides</t>
    <phoneticPr fontId="3" type="noConversion"/>
  </si>
  <si>
    <t>=COUNTIF(H2:H81,1)/COUNT(H2:H81)</t>
    <phoneticPr fontId="3" type="noConversion"/>
  </si>
  <si>
    <t>it suggests that black wins more than nornal dice</t>
    <phoneticPr fontId="3" type="noConversion"/>
  </si>
  <si>
    <t>conditional formatting</t>
    <phoneticPr fontId="3" type="noConversion"/>
  </si>
  <si>
    <t xml:space="preserve">Generally, orange wins blue, and blue wins black., black wins orange. Three fo them are all the best fit. </t>
    <phoneticPr fontId="3" type="noConversion"/>
  </si>
  <si>
    <t>In fact, he could choose a counter one on my choice</t>
    <phoneticPr fontId="3" type="noConversion"/>
  </si>
  <si>
    <t>=IF(D3=10,E2-1,E2+1)</t>
    <phoneticPr fontId="3" type="noConversion"/>
  </si>
  <si>
    <t>I2 which is 0</t>
    <phoneticPr fontId="3" type="noConversion"/>
  </si>
  <si>
    <t>2,2 refers to initial # of 5. It determines the amount of $5 cash we have to bring</t>
    <phoneticPr fontId="3" type="noConversion"/>
  </si>
  <si>
    <t>Reasonable value would be around 6. value less than 70% would be 3, more than 80% would be 7</t>
    <phoneticPr fontId="3" type="noConversion"/>
  </si>
  <si>
    <t>1,7 refers to the minimum of column E. it means whether the $5 cash we took will cover all possibilities of customer brought $5 cash</t>
    <phoneticPr fontId="3" type="noConversion"/>
  </si>
  <si>
    <t>After 5 tests, for all initial assumptions after 20, will be considered no affects. The best way of preparing $5 cash for 40 customers is bring 20 of $5 cash</t>
    <phoneticPr fontId="3" type="noConversion"/>
  </si>
  <si>
    <t>Using vba to run simulations would be easier and faster to generate visulizable data without bias</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</si>
</sst>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等线"/>
      <family val="2"/>
      <scheme val="minor"/>
    </font>
    <font>
      <sz val="11"/>
      <color theme="1"/>
      <name val="等线"/>
      <family val="2"/>
      <scheme val="minor"/>
    </font>
    <font>
      <b/>
      <sz val="11"/>
      <color theme="1"/>
      <name val="等线"/>
      <family val="2"/>
      <scheme val="minor"/>
    </font>
    <font>
      <sz val="8"/>
      <name val="等线"/>
      <family val="2"/>
      <scheme val="minor"/>
    </font>
    <font>
      <b/>
      <i/>
      <sz val="11"/>
      <color theme="1"/>
      <name val="等线"/>
      <family val="2"/>
      <scheme val="minor"/>
    </font>
    <font>
      <sz val="11"/>
      <name val="等线"/>
      <family val="2"/>
      <scheme val="minor"/>
    </font>
    <font>
      <b/>
      <sz val="12"/>
      <color theme="1"/>
      <name val="等线"/>
      <family val="2"/>
      <scheme val="minor"/>
    </font>
    <font>
      <sz val="24"/>
      <color theme="1"/>
      <name val="Arial"/>
      <family val="2"/>
    </font>
    <font>
      <sz val="12"/>
      <color rgb="FF000000"/>
      <name val="等线"/>
      <family val="2"/>
      <scheme val="minor"/>
    </font>
    <font>
      <sz val="12"/>
      <color rgb="FFB7B7B7"/>
      <name val="等线"/>
      <family val="2"/>
      <scheme val="minor"/>
    </font>
    <font>
      <sz val="12"/>
      <color theme="1"/>
      <name val="等线"/>
      <family val="2"/>
      <scheme val="minor"/>
    </font>
    <font>
      <sz val="12"/>
      <color rgb="FFFFC000"/>
      <name val="等线"/>
      <family val="2"/>
      <scheme val="minor"/>
    </font>
    <font>
      <sz val="12"/>
      <color rgb="FF0070C0"/>
      <name val="等线"/>
      <family val="2"/>
      <scheme val="minor"/>
    </font>
    <font>
      <sz val="11"/>
      <color theme="0" tint="-0.34998626667073579"/>
      <name val="等线"/>
      <family val="2"/>
      <scheme val="minor"/>
    </font>
    <font>
      <sz val="9"/>
      <color rgb="FF000000"/>
      <name val="等线"/>
      <family val="2"/>
      <scheme val="minor"/>
    </font>
    <font>
      <sz val="11"/>
      <color theme="0"/>
      <name val="等线"/>
      <family val="2"/>
      <scheme val="minor"/>
    </font>
    <font>
      <sz val="9"/>
      <name val="等线"/>
      <family val="3"/>
      <charset val="134"/>
      <scheme val="minor"/>
    </font>
  </fonts>
  <fills count="12">
    <fill>
      <patternFill patternType="none"/>
    </fill>
    <fill>
      <patternFill patternType="gray125"/>
    </fill>
    <fill>
      <patternFill patternType="solid">
        <fgColor theme="5" tint="0.79998168889431442"/>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0" tint="-0.14999847407452621"/>
        <bgColor indexed="64"/>
      </patternFill>
    </fill>
  </fills>
  <borders count="5">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style="medium">
        <color rgb="FFCCCCCC"/>
      </left>
      <right style="medium">
        <color rgb="FFCCCCCC"/>
      </right>
      <top style="medium">
        <color rgb="FFCCCCCC"/>
      </top>
      <bottom style="medium">
        <color rgb="FFCCCCCC"/>
      </bottom>
      <diagonal/>
    </border>
  </borders>
  <cellStyleXfs count="2">
    <xf numFmtId="0" fontId="0" fillId="0" borderId="0"/>
    <xf numFmtId="9" fontId="1" fillId="0" borderId="0" applyFont="0" applyFill="0" applyBorder="0" applyAlignment="0" applyProtection="0"/>
  </cellStyleXfs>
  <cellXfs count="44">
    <xf numFmtId="0" fontId="0" fillId="0" borderId="0" xfId="0"/>
    <xf numFmtId="0" fontId="2" fillId="2" borderId="0" xfId="0" applyFont="1" applyFill="1"/>
    <xf numFmtId="0" fontId="2" fillId="2" borderId="0" xfId="0" applyFont="1" applyFill="1" applyAlignment="1">
      <alignment horizontal="center"/>
    </xf>
    <xf numFmtId="0" fontId="0" fillId="0" borderId="0" xfId="0" applyAlignment="1">
      <alignment horizontal="center"/>
    </xf>
    <xf numFmtId="0" fontId="0" fillId="0" borderId="1" xfId="0" applyBorder="1"/>
    <xf numFmtId="0" fontId="4" fillId="3" borderId="0" xfId="0" applyFont="1" applyFill="1"/>
    <xf numFmtId="9" fontId="2" fillId="3" borderId="0" xfId="1" applyFont="1" applyFill="1"/>
    <xf numFmtId="0" fontId="5" fillId="0" borderId="0" xfId="0" applyFont="1" applyAlignment="1">
      <alignment horizontal="center"/>
    </xf>
    <xf numFmtId="0" fontId="0" fillId="0" borderId="0" xfId="0" applyAlignment="1"/>
    <xf numFmtId="0" fontId="0" fillId="5" borderId="0" xfId="0" applyFill="1"/>
    <xf numFmtId="0" fontId="7" fillId="0" borderId="4" xfId="0" applyFont="1" applyBorder="1" applyAlignment="1">
      <alignment horizontal="center" vertical="center" wrapText="1"/>
    </xf>
    <xf numFmtId="0" fontId="2" fillId="7" borderId="1" xfId="0" applyFont="1" applyFill="1" applyBorder="1" applyAlignment="1">
      <alignment horizontal="right"/>
    </xf>
    <xf numFmtId="0" fontId="0" fillId="6" borderId="0" xfId="0" applyFill="1" applyAlignment="1">
      <alignment horizontal="center"/>
    </xf>
    <xf numFmtId="0" fontId="0" fillId="8" borderId="0" xfId="0" applyFill="1"/>
    <xf numFmtId="0" fontId="0" fillId="6" borderId="0" xfId="0" applyFill="1" applyAlignment="1">
      <alignment horizontal="right"/>
    </xf>
    <xf numFmtId="0" fontId="8" fillId="0" borderId="4" xfId="0" applyFont="1" applyBorder="1" applyAlignment="1">
      <alignment horizontal="center" wrapText="1"/>
    </xf>
    <xf numFmtId="0" fontId="9" fillId="0" borderId="4" xfId="0" applyFont="1" applyFill="1" applyBorder="1" applyAlignment="1">
      <alignment horizontal="center" wrapText="1"/>
    </xf>
    <xf numFmtId="0" fontId="10" fillId="0" borderId="4" xfId="0" applyFont="1" applyBorder="1" applyAlignment="1">
      <alignment horizontal="center" wrapText="1"/>
    </xf>
    <xf numFmtId="0" fontId="10" fillId="0" borderId="4" xfId="0" applyFont="1" applyFill="1" applyBorder="1" applyAlignment="1">
      <alignment horizontal="center" wrapText="1"/>
    </xf>
    <xf numFmtId="0" fontId="11" fillId="0" borderId="4" xfId="0" applyFont="1" applyBorder="1" applyAlignment="1">
      <alignment horizontal="center" wrapText="1"/>
    </xf>
    <xf numFmtId="0" fontId="11" fillId="0" borderId="4" xfId="0" applyFont="1" applyFill="1" applyBorder="1" applyAlignment="1">
      <alignment horizontal="center" wrapText="1"/>
    </xf>
    <xf numFmtId="0" fontId="12" fillId="0" borderId="4" xfId="0" applyFont="1" applyBorder="1" applyAlignment="1">
      <alignment horizontal="center" wrapText="1"/>
    </xf>
    <xf numFmtId="0" fontId="12" fillId="0" borderId="4" xfId="0" applyFont="1" applyFill="1" applyBorder="1" applyAlignment="1">
      <alignment horizontal="center" wrapText="1"/>
    </xf>
    <xf numFmtId="0" fontId="13" fillId="0" borderId="0" xfId="0" applyFont="1"/>
    <xf numFmtId="0" fontId="7" fillId="0" borderId="0" xfId="0" applyFont="1" applyBorder="1" applyAlignment="1">
      <alignment horizontal="center" vertical="center" wrapText="1"/>
    </xf>
    <xf numFmtId="0" fontId="0" fillId="0" borderId="0" xfId="0" applyBorder="1"/>
    <xf numFmtId="0" fontId="14" fillId="0" borderId="4" xfId="0" applyFont="1" applyBorder="1" applyAlignment="1">
      <alignment horizontal="center" wrapText="1"/>
    </xf>
    <xf numFmtId="0" fontId="0" fillId="9" borderId="3" xfId="0" applyFill="1" applyBorder="1" applyAlignment="1">
      <alignment horizontal="center" textRotation="45"/>
    </xf>
    <xf numFmtId="0" fontId="0" fillId="10" borderId="3" xfId="0" applyFill="1" applyBorder="1" applyAlignment="1">
      <alignment horizontal="center" vertical="center"/>
    </xf>
    <xf numFmtId="0" fontId="0" fillId="9" borderId="3" xfId="0" applyFill="1" applyBorder="1" applyAlignment="1">
      <alignment horizontal="center"/>
    </xf>
    <xf numFmtId="0" fontId="0" fillId="11" borderId="3" xfId="0" applyFill="1" applyBorder="1"/>
    <xf numFmtId="9" fontId="0" fillId="0" borderId="0" xfId="1" applyFont="1"/>
    <xf numFmtId="0" fontId="15" fillId="0" borderId="3" xfId="0" applyFont="1" applyFill="1" applyBorder="1"/>
    <xf numFmtId="0" fontId="15" fillId="0" borderId="3" xfId="0" quotePrefix="1" applyFont="1" applyFill="1" applyBorder="1"/>
    <xf numFmtId="0" fontId="15" fillId="6" borderId="0" xfId="0" applyFont="1" applyFill="1"/>
    <xf numFmtId="0" fontId="0" fillId="4" borderId="0" xfId="0" quotePrefix="1" applyFill="1" applyAlignment="1">
      <alignment horizontal="left" wrapText="1"/>
    </xf>
    <xf numFmtId="0" fontId="0" fillId="4" borderId="0" xfId="0" applyFill="1" applyAlignment="1">
      <alignment horizontal="left" wrapText="1"/>
    </xf>
    <xf numFmtId="0" fontId="0" fillId="0" borderId="0" xfId="0" applyAlignment="1">
      <alignment horizontal="left" wrapText="1"/>
    </xf>
    <xf numFmtId="0" fontId="6" fillId="2" borderId="0" xfId="0" applyFont="1" applyFill="1" applyAlignment="1">
      <alignment horizontal="left"/>
    </xf>
    <xf numFmtId="0" fontId="0" fillId="3" borderId="0" xfId="0" applyFill="1" applyAlignment="1">
      <alignment horizontal="center"/>
    </xf>
    <xf numFmtId="0" fontId="0" fillId="3" borderId="2" xfId="0" applyFill="1" applyBorder="1" applyAlignment="1">
      <alignment horizontal="center"/>
    </xf>
    <xf numFmtId="0" fontId="15" fillId="0" borderId="0" xfId="0" applyFont="1" applyAlignment="1">
      <alignment horizontal="left" wrapText="1"/>
    </xf>
    <xf numFmtId="9" fontId="0" fillId="4" borderId="0" xfId="0" quotePrefix="1" applyNumberFormat="1" applyFill="1" applyAlignment="1">
      <alignment horizontal="left" wrapText="1"/>
    </xf>
    <xf numFmtId="0" fontId="5" fillId="10" borderId="3" xfId="0" applyFont="1" applyFill="1" applyBorder="1" applyAlignment="1">
      <alignment horizontal="center" vertical="center"/>
    </xf>
  </cellXfs>
  <cellStyles count="2">
    <cellStyle name="Normal" xfId="0" builtinId="0"/>
    <cellStyle name="Percent" xfId="1" builtinId="5"/>
  </cellStyles>
  <dxfs count="127">
    <dxf>
      <font>
        <color rgb="FFFFC000"/>
      </font>
    </dxf>
    <dxf>
      <font>
        <color rgb="FF0070C0"/>
      </font>
    </dxf>
    <dxf>
      <font>
        <color rgb="FF0070C0"/>
      </font>
    </dxf>
    <dxf>
      <font>
        <color rgb="FFFFC000"/>
      </font>
    </dxf>
    <dxf>
      <font>
        <color theme="0" tint="-0.499984740745262"/>
      </font>
      <fill>
        <patternFill>
          <bgColor theme="0" tint="-0.14996795556505021"/>
        </patternFill>
      </fill>
    </dxf>
    <dxf>
      <font>
        <color theme="0" tint="-0.499984740745262"/>
      </font>
      <fill>
        <patternFill>
          <bgColor theme="0" tint="-0.14996795556505021"/>
        </patternFill>
      </fill>
    </dxf>
    <dxf>
      <font>
        <strike/>
      </font>
      <fill>
        <patternFill>
          <bgColor rgb="FF00B050"/>
        </patternFill>
      </fill>
    </dxf>
    <dxf>
      <font>
        <color theme="0" tint="-0.499984740745262"/>
      </font>
      <fill>
        <patternFill>
          <bgColor theme="0" tint="-0.14996795556505021"/>
        </patternFill>
      </fill>
    </dxf>
    <dxf>
      <font>
        <strike/>
      </font>
      <fill>
        <patternFill>
          <bgColor rgb="FF00B050"/>
        </patternFill>
      </fill>
    </dxf>
    <dxf>
      <font>
        <color theme="0" tint="-0.499984740745262"/>
      </font>
      <fill>
        <patternFill>
          <bgColor theme="0" tint="-0.14996795556505021"/>
        </patternFill>
      </fill>
    </dxf>
    <dxf>
      <font>
        <strike/>
      </font>
      <fill>
        <patternFill>
          <bgColor rgb="FF00B050"/>
        </patternFill>
      </fill>
    </dxf>
    <dxf>
      <font>
        <color theme="0" tint="-0.499984740745262"/>
      </font>
      <fill>
        <patternFill>
          <bgColor theme="0" tint="-0.14996795556505021"/>
        </patternFill>
      </fill>
    </dxf>
    <dxf>
      <font>
        <strike/>
      </font>
      <fill>
        <patternFill>
          <bgColor rgb="FF00B050"/>
        </patternFill>
      </fill>
    </dxf>
    <dxf>
      <font>
        <color theme="0" tint="-0.499984740745262"/>
      </font>
      <fill>
        <patternFill>
          <bgColor theme="0" tint="-0.14996795556505021"/>
        </patternFill>
      </fill>
    </dxf>
    <dxf>
      <font>
        <strike/>
      </font>
      <fill>
        <patternFill>
          <bgColor rgb="FF00B050"/>
        </patternFill>
      </fill>
    </dxf>
    <dxf>
      <font>
        <color theme="0" tint="-0.499984740745262"/>
      </font>
      <fill>
        <patternFill>
          <bgColor theme="0" tint="-0.14996795556505021"/>
        </patternFill>
      </fill>
    </dxf>
    <dxf>
      <font>
        <strike/>
      </font>
      <fill>
        <patternFill>
          <bgColor rgb="FF00B050"/>
        </patternFill>
      </fill>
    </dxf>
    <dxf>
      <font>
        <strike/>
      </font>
      <fill>
        <patternFill>
          <bgColor rgb="FF00B050"/>
        </patternFill>
      </fill>
    </dxf>
    <dxf>
      <font>
        <color theme="0" tint="-0.499984740745262"/>
      </font>
      <fill>
        <patternFill>
          <bgColor theme="0" tint="-0.14996795556505021"/>
        </patternFill>
      </fill>
    </dxf>
    <dxf>
      <font>
        <strike/>
      </font>
      <fill>
        <patternFill>
          <bgColor rgb="FF00B050"/>
        </patternFill>
      </fill>
    </dxf>
    <dxf>
      <font>
        <color theme="0" tint="-0.499984740745262"/>
      </font>
      <fill>
        <patternFill>
          <bgColor theme="0" tint="-0.14996795556505021"/>
        </patternFill>
      </fill>
    </dxf>
    <dxf>
      <font>
        <strike/>
      </font>
      <fill>
        <patternFill>
          <bgColor rgb="FF00B050"/>
        </patternFill>
      </fill>
    </dxf>
    <dxf>
      <font>
        <color theme="0" tint="-0.499984740745262"/>
      </font>
      <fill>
        <patternFill>
          <bgColor theme="0" tint="-0.14996795556505021"/>
        </patternFill>
      </fill>
    </dxf>
    <dxf>
      <font>
        <color theme="0" tint="-0.499984740745262"/>
      </font>
      <fill>
        <patternFill>
          <bgColor theme="0" tint="-0.14996795556505021"/>
        </patternFill>
      </fill>
    </dxf>
    <dxf>
      <font>
        <strike/>
      </font>
      <fill>
        <patternFill>
          <bgColor rgb="FF00B050"/>
        </patternFill>
      </fill>
    </dxf>
    <dxf>
      <font>
        <color theme="0" tint="-0.499984740745262"/>
      </font>
      <fill>
        <patternFill>
          <bgColor theme="0" tint="-0.14996795556505021"/>
        </patternFill>
      </fill>
    </dxf>
    <dxf>
      <font>
        <strike/>
      </font>
      <fill>
        <patternFill>
          <bgColor rgb="FF00B050"/>
        </patternFill>
      </fill>
    </dxf>
    <dxf>
      <font>
        <color theme="0" tint="-0.499984740745262"/>
      </font>
      <fill>
        <patternFill>
          <bgColor theme="0" tint="-0.14996795556505021"/>
        </patternFill>
      </fill>
    </dxf>
    <dxf>
      <font>
        <color theme="0" tint="-0.499984740745262"/>
      </font>
      <fill>
        <patternFill>
          <bgColor theme="0" tint="-0.14996795556505021"/>
        </patternFill>
      </fill>
    </dxf>
    <dxf>
      <font>
        <strike/>
      </font>
      <fill>
        <patternFill>
          <bgColor rgb="FF00B050"/>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strike/>
      </font>
      <fill>
        <patternFill>
          <bgColor rgb="FF00B050"/>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strike/>
      </font>
      <fill>
        <patternFill>
          <bgColor rgb="FF00B050"/>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strike/>
      </font>
      <fill>
        <patternFill>
          <bgColor rgb="FF00B050"/>
        </patternFill>
      </fill>
    </dxf>
    <dxf>
      <font>
        <color theme="0" tint="-0.499984740745262"/>
      </font>
      <fill>
        <patternFill>
          <bgColor theme="0" tint="-0.14996795556505021"/>
        </patternFill>
      </fill>
    </dxf>
    <dxf>
      <font>
        <color theme="0" tint="-0.499984740745262"/>
      </font>
      <fill>
        <patternFill>
          <bgColor theme="0" tint="-0.14996795556505021"/>
        </patternFill>
      </fill>
    </dxf>
    <dxf>
      <font>
        <strike/>
      </font>
      <fill>
        <patternFill>
          <bgColor rgb="FF00B050"/>
        </patternFill>
      </fill>
    </dxf>
    <dxf>
      <font>
        <color theme="0" tint="-0.499984740745262"/>
      </font>
      <fill>
        <patternFill>
          <bgColor theme="0" tint="-0.14996795556505021"/>
        </patternFill>
      </fill>
    </dxf>
    <dxf>
      <font>
        <color theme="0" tint="-0.499984740745262"/>
      </font>
      <fill>
        <patternFill>
          <bgColor theme="0" tint="-0.14996795556505021"/>
        </patternFill>
      </fill>
    </dxf>
    <dxf>
      <font>
        <strike/>
      </font>
      <fill>
        <patternFill>
          <bgColor rgb="FF00B050"/>
        </patternFill>
      </fill>
    </dxf>
    <dxf>
      <font>
        <color theme="0" tint="-0.499984740745262"/>
      </font>
      <fill>
        <patternFill>
          <bgColor theme="0" tint="-0.14996795556505021"/>
        </patternFill>
      </fill>
    </dxf>
    <dxf>
      <font>
        <color theme="0" tint="-0.499984740745262"/>
      </font>
      <fill>
        <patternFill>
          <bgColor theme="0" tint="-0.14996795556505021"/>
        </patternFill>
      </fill>
    </dxf>
    <dxf>
      <font>
        <strike/>
      </font>
      <fill>
        <patternFill>
          <bgColor rgb="FF00B050"/>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strike/>
      </font>
      <fill>
        <patternFill>
          <bgColor rgb="FF00B050"/>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strike/>
      </font>
      <fill>
        <patternFill>
          <bgColor rgb="FF00B050"/>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strike/>
      </font>
      <fill>
        <patternFill>
          <bgColor rgb="FF00B050"/>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strike/>
      </font>
      <fill>
        <patternFill>
          <bgColor rgb="FF00B050"/>
        </patternFill>
      </fill>
    </dxf>
    <dxf>
      <font>
        <color theme="0" tint="-0.499984740745262"/>
      </font>
      <fill>
        <patternFill>
          <bgColor theme="0" tint="-0.14996795556505021"/>
        </patternFill>
      </fill>
    </dxf>
    <dxf>
      <font>
        <strike/>
      </font>
      <fill>
        <patternFill>
          <bgColor rgb="FF00B050"/>
        </patternFill>
      </fill>
    </dxf>
    <dxf>
      <font>
        <color theme="0" tint="-0.499984740745262"/>
      </font>
      <fill>
        <patternFill>
          <bgColor theme="0" tint="-0.14996795556505021"/>
        </patternFill>
      </fill>
    </dxf>
    <dxf>
      <font>
        <strike/>
      </font>
      <fill>
        <patternFill>
          <bgColor rgb="FF00B050"/>
        </patternFill>
      </fill>
    </dxf>
    <dxf>
      <font>
        <color theme="0" tint="-0.499984740745262"/>
      </font>
      <fill>
        <patternFill>
          <bgColor theme="0" tint="-0.14996795556505021"/>
        </patternFill>
      </fill>
    </dxf>
    <dxf>
      <font>
        <strike/>
      </font>
      <fill>
        <patternFill>
          <bgColor rgb="FF00B050"/>
        </patternFill>
      </fill>
    </dxf>
    <dxf>
      <font>
        <color theme="0" tint="-0.499984740745262"/>
      </font>
      <fill>
        <patternFill>
          <bgColor theme="0" tint="-0.14996795556505021"/>
        </patternFill>
      </fill>
    </dxf>
    <dxf>
      <font>
        <strike/>
      </font>
      <fill>
        <patternFill>
          <bgColor rgb="FF00B050"/>
        </patternFill>
      </fill>
    </dxf>
    <dxf>
      <font>
        <color theme="0" tint="-0.499984740745262"/>
      </font>
      <fill>
        <patternFill>
          <bgColor theme="0" tint="-0.14996795556505021"/>
        </patternFill>
      </fill>
    </dxf>
    <dxf>
      <font>
        <strike/>
      </font>
      <fill>
        <patternFill>
          <bgColor rgb="FF00B050"/>
        </patternFill>
      </fill>
    </dxf>
    <dxf>
      <font>
        <color theme="0" tint="-0.499984740745262"/>
      </font>
      <fill>
        <patternFill>
          <bgColor theme="0" tint="-0.14996795556505021"/>
        </patternFill>
      </fill>
    </dxf>
    <dxf>
      <font>
        <strike/>
      </font>
      <fill>
        <patternFill>
          <bgColor rgb="FF00B050"/>
        </patternFill>
      </fill>
    </dxf>
    <dxf>
      <font>
        <color theme="0" tint="-0.499984740745262"/>
      </font>
      <fill>
        <patternFill>
          <bgColor theme="0" tint="-0.14996795556505021"/>
        </patternFill>
      </fill>
    </dxf>
    <dxf>
      <font>
        <color theme="0" tint="-0.499984740745262"/>
      </font>
      <fill>
        <patternFill>
          <bgColor theme="0" tint="-0.14996795556505021"/>
        </patternFill>
      </fill>
    </dxf>
    <dxf>
      <font>
        <strike/>
      </font>
      <fill>
        <patternFill>
          <bgColor rgb="FF00B050"/>
        </patternFill>
      </fill>
    </dxf>
    <dxf>
      <font>
        <color theme="0" tint="-0.499984740745262"/>
      </font>
      <fill>
        <patternFill>
          <bgColor theme="0" tint="-0.14996795556505021"/>
        </patternFill>
      </fill>
    </dxf>
    <dxf>
      <font>
        <strike/>
      </font>
      <fill>
        <patternFill>
          <bgColor rgb="FF00B050"/>
        </patternFill>
      </fill>
    </dxf>
    <dxf>
      <font>
        <color theme="0" tint="-0.499984740745262"/>
      </font>
      <fill>
        <patternFill>
          <bgColor theme="0" tint="-0.14996795556505021"/>
        </patternFill>
      </fill>
    </dxf>
    <dxf>
      <font>
        <strike/>
      </font>
      <fill>
        <patternFill>
          <bgColor rgb="FF00B050"/>
        </patternFill>
      </fill>
    </dxf>
    <dxf>
      <font>
        <color theme="0" tint="-0.499984740745262"/>
      </font>
      <fill>
        <patternFill>
          <bgColor theme="0" tint="-0.14996795556505021"/>
        </patternFill>
      </fill>
    </dxf>
    <dxf>
      <font>
        <color theme="0" tint="-0.499984740745262"/>
      </font>
      <fill>
        <patternFill>
          <bgColor theme="0" tint="-0.14996795556505021"/>
        </patternFill>
      </fill>
    </dxf>
    <dxf>
      <font>
        <strike/>
      </font>
      <fill>
        <patternFill>
          <bgColor rgb="FF00B050"/>
        </patternFill>
      </fill>
    </dxf>
    <dxf>
      <font>
        <color theme="0" tint="-0.499984740745262"/>
      </font>
      <fill>
        <patternFill>
          <bgColor theme="0" tint="-0.14996795556505021"/>
        </patternFill>
      </fill>
    </dxf>
    <dxf>
      <font>
        <strike/>
      </font>
      <fill>
        <patternFill>
          <bgColor rgb="FF00B050"/>
        </patternFill>
      </fill>
    </dxf>
    <dxf>
      <font>
        <color theme="0" tint="-0.499984740745262"/>
      </font>
      <fill>
        <patternFill>
          <bgColor theme="0" tint="-0.14996795556505021"/>
        </patternFill>
      </fill>
    </dxf>
    <dxf>
      <font>
        <strike/>
      </font>
      <fill>
        <patternFill>
          <bgColor rgb="FF00B050"/>
        </patternFill>
      </fill>
    </dxf>
    <dxf>
      <font>
        <strike/>
      </font>
      <fill>
        <patternFill>
          <bgColor rgb="FF00B050"/>
        </patternFill>
      </fill>
    </dxf>
    <dxf>
      <font>
        <color theme="0" tint="-0.499984740745262"/>
      </font>
      <fill>
        <patternFill>
          <bgColor theme="0" tint="-0.14996795556505021"/>
        </patternFill>
      </fill>
    </dxf>
    <dxf>
      <font>
        <color theme="0" tint="-0.499984740745262"/>
      </font>
      <fill>
        <patternFill>
          <bgColor theme="0" tint="-0.14996795556505021"/>
        </patternFill>
      </fill>
    </dxf>
    <dxf>
      <font>
        <strike/>
      </font>
      <fill>
        <patternFill>
          <bgColor rgb="FF00B050"/>
        </patternFill>
      </fill>
    </dxf>
    <dxf>
      <font>
        <color theme="0" tint="-0.499984740745262"/>
      </font>
      <fill>
        <patternFill>
          <bgColor theme="0" tint="-0.14996795556505021"/>
        </patternFill>
      </fill>
    </dxf>
    <dxf>
      <font>
        <strike/>
      </font>
      <fill>
        <patternFill>
          <bgColor rgb="FF00B050"/>
        </patternFill>
      </fill>
    </dxf>
    <dxf>
      <font>
        <color theme="0" tint="-0.499984740745262"/>
      </font>
      <fill>
        <patternFill>
          <bgColor theme="0" tint="-0.14996795556505021"/>
        </patternFill>
      </fill>
    </dxf>
    <dxf>
      <font>
        <strike/>
      </font>
      <fill>
        <patternFill>
          <bgColor rgb="FF00B050"/>
        </patternFill>
      </fill>
    </dxf>
    <dxf>
      <font>
        <color theme="0" tint="-0.499984740745262"/>
      </font>
      <fill>
        <patternFill>
          <bgColor theme="0" tint="-0.14996795556505021"/>
        </patternFill>
      </fill>
    </dxf>
    <dxf>
      <font>
        <strike/>
      </font>
      <fill>
        <patternFill>
          <bgColor rgb="FF00B050"/>
        </patternFill>
      </fill>
    </dxf>
    <dxf>
      <font>
        <color theme="0" tint="-0.499984740745262"/>
      </font>
      <fill>
        <patternFill>
          <bgColor theme="0" tint="-0.14996795556505021"/>
        </patternFill>
      </fill>
    </dxf>
    <dxf>
      <font>
        <strike/>
      </font>
      <fill>
        <patternFill>
          <bgColor rgb="FF00B050"/>
        </patternFill>
      </fill>
    </dxf>
    <dxf>
      <font>
        <color theme="0" tint="-0.499984740745262"/>
      </font>
      <fill>
        <patternFill>
          <bgColor theme="0" tint="-0.14996795556505021"/>
        </patternFill>
      </fill>
    </dxf>
    <dxf>
      <font>
        <color theme="0" tint="-0.499984740745262"/>
      </font>
      <fill>
        <patternFill>
          <bgColor theme="0" tint="-0.14996795556505021"/>
        </patternFill>
      </fill>
    </dxf>
    <dxf>
      <font>
        <strike/>
      </font>
      <fill>
        <patternFill>
          <bgColor rgb="FF00B050"/>
        </patternFill>
      </fill>
    </dxf>
  </dxfs>
  <tableStyles count="0" defaultTableStyle="TableStyleMedium2" defaultPivotStyle="PivotStyleLight16"/>
  <colors>
    <mruColors>
      <color rgb="FF00000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onnections" Target="connections.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bar"/>
        <c:grouping val="clustered"/>
        <c:varyColors val="0"/>
        <c:ser>
          <c:idx val="0"/>
          <c:order val="0"/>
          <c:tx>
            <c:strRef>
              <c:f>coins!$H$6</c:f>
              <c:strCache>
                <c:ptCount val="1"/>
                <c:pt idx="0">
                  <c:v>count</c:v>
                </c:pt>
              </c:strCache>
            </c:strRef>
          </c:tx>
          <c:spPr>
            <a:solidFill>
              <a:schemeClr val="accent1"/>
            </a:solidFill>
            <a:ln>
              <a:noFill/>
            </a:ln>
            <a:effectLst/>
          </c:spPr>
          <c:invertIfNegative val="0"/>
          <c:cat>
            <c:numRef>
              <c:f>coins!$G$7:$G$11</c:f>
              <c:numCache>
                <c:formatCode>General</c:formatCode>
                <c:ptCount val="5"/>
                <c:pt idx="0">
                  <c:v>0</c:v>
                </c:pt>
                <c:pt idx="1">
                  <c:v>1</c:v>
                </c:pt>
                <c:pt idx="2">
                  <c:v>2</c:v>
                </c:pt>
                <c:pt idx="3">
                  <c:v>3</c:v>
                </c:pt>
                <c:pt idx="4">
                  <c:v>4</c:v>
                </c:pt>
              </c:numCache>
            </c:numRef>
          </c:cat>
          <c:val>
            <c:numRef>
              <c:f>coins!$H$7:$H$11</c:f>
              <c:numCache>
                <c:formatCode>General</c:formatCode>
                <c:ptCount val="5"/>
                <c:pt idx="0">
                  <c:v>2</c:v>
                </c:pt>
                <c:pt idx="1">
                  <c:v>37</c:v>
                </c:pt>
                <c:pt idx="2">
                  <c:v>19</c:v>
                </c:pt>
                <c:pt idx="3">
                  <c:v>4</c:v>
                </c:pt>
                <c:pt idx="4">
                  <c:v>4</c:v>
                </c:pt>
              </c:numCache>
            </c:numRef>
          </c:val>
          <c:extLst>
            <c:ext xmlns:c16="http://schemas.microsoft.com/office/drawing/2014/chart" uri="{C3380CC4-5D6E-409C-BE32-E72D297353CC}">
              <c16:uniqueId val="{00000000-97C0-4324-ABCD-715D1A5EF01F}"/>
            </c:ext>
          </c:extLst>
        </c:ser>
        <c:dLbls>
          <c:showLegendKey val="0"/>
          <c:showVal val="0"/>
          <c:showCatName val="0"/>
          <c:showSerName val="0"/>
          <c:showPercent val="0"/>
          <c:showBubbleSize val="0"/>
        </c:dLbls>
        <c:gapWidth val="182"/>
        <c:axId val="323683071"/>
        <c:axId val="323683487"/>
      </c:barChart>
      <c:catAx>
        <c:axId val="3236830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23683487"/>
        <c:crosses val="autoZero"/>
        <c:auto val="1"/>
        <c:lblAlgn val="ctr"/>
        <c:lblOffset val="100"/>
        <c:noMultiLvlLbl val="0"/>
      </c:catAx>
      <c:valAx>
        <c:axId val="32368348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23683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tx>
            <c:strRef>
              <c:f>fiveTen!$E$1</c:f>
              <c:strCache>
                <c:ptCount val="1"/>
                <c:pt idx="0">
                  <c:v># 5s</c:v>
                </c:pt>
              </c:strCache>
            </c:strRef>
          </c:tx>
          <c:spPr>
            <a:ln w="28575" cap="rnd">
              <a:solidFill>
                <a:schemeClr val="accent1"/>
              </a:solidFill>
              <a:round/>
            </a:ln>
            <a:effectLst/>
          </c:spPr>
          <c:marker>
            <c:symbol val="none"/>
          </c:marker>
          <c:val>
            <c:numRef>
              <c:f>fiveTen!$E$2:$E$42</c:f>
              <c:numCache>
                <c:formatCode>General</c:formatCode>
                <c:ptCount val="41"/>
                <c:pt idx="0">
                  <c:v>40</c:v>
                </c:pt>
                <c:pt idx="1">
                  <c:v>39</c:v>
                </c:pt>
                <c:pt idx="2">
                  <c:v>40</c:v>
                </c:pt>
                <c:pt idx="3">
                  <c:v>39</c:v>
                </c:pt>
                <c:pt idx="4">
                  <c:v>38</c:v>
                </c:pt>
                <c:pt idx="5">
                  <c:v>39</c:v>
                </c:pt>
                <c:pt idx="6">
                  <c:v>40</c:v>
                </c:pt>
                <c:pt idx="7">
                  <c:v>39</c:v>
                </c:pt>
                <c:pt idx="8">
                  <c:v>38</c:v>
                </c:pt>
                <c:pt idx="9">
                  <c:v>39</c:v>
                </c:pt>
                <c:pt idx="10">
                  <c:v>40</c:v>
                </c:pt>
                <c:pt idx="11">
                  <c:v>41</c:v>
                </c:pt>
                <c:pt idx="12">
                  <c:v>42</c:v>
                </c:pt>
                <c:pt idx="13">
                  <c:v>43</c:v>
                </c:pt>
                <c:pt idx="14">
                  <c:v>42</c:v>
                </c:pt>
                <c:pt idx="15">
                  <c:v>41</c:v>
                </c:pt>
                <c:pt idx="16">
                  <c:v>40</c:v>
                </c:pt>
                <c:pt idx="17">
                  <c:v>41</c:v>
                </c:pt>
                <c:pt idx="18">
                  <c:v>42</c:v>
                </c:pt>
                <c:pt idx="19">
                  <c:v>41</c:v>
                </c:pt>
                <c:pt idx="20">
                  <c:v>42</c:v>
                </c:pt>
                <c:pt idx="21">
                  <c:v>43</c:v>
                </c:pt>
                <c:pt idx="22">
                  <c:v>44</c:v>
                </c:pt>
                <c:pt idx="23">
                  <c:v>45</c:v>
                </c:pt>
                <c:pt idx="24">
                  <c:v>44</c:v>
                </c:pt>
                <c:pt idx="25">
                  <c:v>43</c:v>
                </c:pt>
                <c:pt idx="26">
                  <c:v>44</c:v>
                </c:pt>
                <c:pt idx="27">
                  <c:v>43</c:v>
                </c:pt>
                <c:pt idx="28">
                  <c:v>44</c:v>
                </c:pt>
                <c:pt idx="29">
                  <c:v>43</c:v>
                </c:pt>
                <c:pt idx="30">
                  <c:v>44</c:v>
                </c:pt>
                <c:pt idx="31">
                  <c:v>45</c:v>
                </c:pt>
                <c:pt idx="32">
                  <c:v>44</c:v>
                </c:pt>
                <c:pt idx="33">
                  <c:v>43</c:v>
                </c:pt>
                <c:pt idx="34">
                  <c:v>42</c:v>
                </c:pt>
                <c:pt idx="35">
                  <c:v>41</c:v>
                </c:pt>
                <c:pt idx="36">
                  <c:v>42</c:v>
                </c:pt>
                <c:pt idx="37">
                  <c:v>43</c:v>
                </c:pt>
                <c:pt idx="38">
                  <c:v>44</c:v>
                </c:pt>
                <c:pt idx="39">
                  <c:v>43</c:v>
                </c:pt>
                <c:pt idx="40">
                  <c:v>42</c:v>
                </c:pt>
              </c:numCache>
            </c:numRef>
          </c:val>
          <c:smooth val="0"/>
          <c:extLst>
            <c:ext xmlns:c16="http://schemas.microsoft.com/office/drawing/2014/chart" uri="{C3380CC4-5D6E-409C-BE32-E72D297353CC}">
              <c16:uniqueId val="{00000000-F7F7-4C62-8A3D-BA9D95FBB643}"/>
            </c:ext>
          </c:extLst>
        </c:ser>
        <c:dLbls>
          <c:showLegendKey val="0"/>
          <c:showVal val="0"/>
          <c:showCatName val="0"/>
          <c:showSerName val="0"/>
          <c:showPercent val="0"/>
          <c:showBubbleSize val="0"/>
        </c:dLbls>
        <c:smooth val="0"/>
        <c:axId val="320702031"/>
        <c:axId val="320698287"/>
      </c:lineChart>
      <c:catAx>
        <c:axId val="32070203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20698287"/>
        <c:crosses val="autoZero"/>
        <c:auto val="1"/>
        <c:lblAlgn val="ctr"/>
        <c:lblOffset val="100"/>
        <c:noMultiLvlLbl val="0"/>
      </c:catAx>
      <c:valAx>
        <c:axId val="3206982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207020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bar"/>
        <c:grouping val="clustered"/>
        <c:varyColors val="0"/>
        <c:ser>
          <c:idx val="0"/>
          <c:order val="0"/>
          <c:tx>
            <c:strRef>
              <c:f>coins!$H$6</c:f>
              <c:strCache>
                <c:ptCount val="1"/>
                <c:pt idx="0">
                  <c:v>count</c:v>
                </c:pt>
              </c:strCache>
            </c:strRef>
          </c:tx>
          <c:spPr>
            <a:solidFill>
              <a:schemeClr val="accent1"/>
            </a:solidFill>
            <a:ln>
              <a:noFill/>
            </a:ln>
            <a:effectLst/>
          </c:spPr>
          <c:invertIfNegative val="0"/>
          <c:cat>
            <c:numRef>
              <c:f>coins!$G$7:$G$11</c:f>
              <c:numCache>
                <c:formatCode>General</c:formatCode>
                <c:ptCount val="5"/>
                <c:pt idx="0">
                  <c:v>0</c:v>
                </c:pt>
                <c:pt idx="1">
                  <c:v>1</c:v>
                </c:pt>
                <c:pt idx="2">
                  <c:v>2</c:v>
                </c:pt>
                <c:pt idx="3">
                  <c:v>3</c:v>
                </c:pt>
                <c:pt idx="4">
                  <c:v>4</c:v>
                </c:pt>
              </c:numCache>
            </c:numRef>
          </c:cat>
          <c:val>
            <c:numRef>
              <c:f>coins!$H$7:$H$11</c:f>
              <c:numCache>
                <c:formatCode>General</c:formatCode>
                <c:ptCount val="5"/>
                <c:pt idx="0">
                  <c:v>2</c:v>
                </c:pt>
                <c:pt idx="1">
                  <c:v>37</c:v>
                </c:pt>
                <c:pt idx="2">
                  <c:v>19</c:v>
                </c:pt>
                <c:pt idx="3">
                  <c:v>4</c:v>
                </c:pt>
                <c:pt idx="4">
                  <c:v>4</c:v>
                </c:pt>
              </c:numCache>
            </c:numRef>
          </c:val>
          <c:extLst>
            <c:ext xmlns:c16="http://schemas.microsoft.com/office/drawing/2014/chart" uri="{C3380CC4-5D6E-409C-BE32-E72D297353CC}">
              <c16:uniqueId val="{00000000-9392-4B1B-BF40-82010425D47A}"/>
            </c:ext>
          </c:extLst>
        </c:ser>
        <c:dLbls>
          <c:showLegendKey val="0"/>
          <c:showVal val="0"/>
          <c:showCatName val="0"/>
          <c:showSerName val="0"/>
          <c:showPercent val="0"/>
          <c:showBubbleSize val="0"/>
        </c:dLbls>
        <c:gapWidth val="182"/>
        <c:axId val="323683071"/>
        <c:axId val="323683487"/>
      </c:barChart>
      <c:catAx>
        <c:axId val="3236830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23683487"/>
        <c:crosses val="autoZero"/>
        <c:auto val="1"/>
        <c:lblAlgn val="ctr"/>
        <c:lblOffset val="100"/>
        <c:noMultiLvlLbl val="0"/>
      </c:catAx>
      <c:valAx>
        <c:axId val="32368348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23683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tx>
            <c:strRef>
              <c:f>fiveTen!$E$1</c:f>
              <c:strCache>
                <c:ptCount val="1"/>
                <c:pt idx="0">
                  <c:v># 5s</c:v>
                </c:pt>
              </c:strCache>
            </c:strRef>
          </c:tx>
          <c:spPr>
            <a:ln w="28575" cap="rnd">
              <a:solidFill>
                <a:schemeClr val="accent1"/>
              </a:solidFill>
              <a:round/>
            </a:ln>
            <a:effectLst/>
          </c:spPr>
          <c:marker>
            <c:symbol val="none"/>
          </c:marker>
          <c:val>
            <c:numRef>
              <c:f>fiveTen!$E$2:$E$42</c:f>
              <c:numCache>
                <c:formatCode>General</c:formatCode>
                <c:ptCount val="41"/>
                <c:pt idx="0">
                  <c:v>40</c:v>
                </c:pt>
                <c:pt idx="1">
                  <c:v>39</c:v>
                </c:pt>
                <c:pt idx="2">
                  <c:v>40</c:v>
                </c:pt>
                <c:pt idx="3">
                  <c:v>39</c:v>
                </c:pt>
                <c:pt idx="4">
                  <c:v>38</c:v>
                </c:pt>
                <c:pt idx="5">
                  <c:v>39</c:v>
                </c:pt>
                <c:pt idx="6">
                  <c:v>40</c:v>
                </c:pt>
                <c:pt idx="7">
                  <c:v>39</c:v>
                </c:pt>
                <c:pt idx="8">
                  <c:v>38</c:v>
                </c:pt>
                <c:pt idx="9">
                  <c:v>39</c:v>
                </c:pt>
                <c:pt idx="10">
                  <c:v>40</c:v>
                </c:pt>
                <c:pt idx="11">
                  <c:v>41</c:v>
                </c:pt>
                <c:pt idx="12">
                  <c:v>42</c:v>
                </c:pt>
                <c:pt idx="13">
                  <c:v>43</c:v>
                </c:pt>
                <c:pt idx="14">
                  <c:v>42</c:v>
                </c:pt>
                <c:pt idx="15">
                  <c:v>41</c:v>
                </c:pt>
                <c:pt idx="16">
                  <c:v>40</c:v>
                </c:pt>
                <c:pt idx="17">
                  <c:v>41</c:v>
                </c:pt>
                <c:pt idx="18">
                  <c:v>42</c:v>
                </c:pt>
                <c:pt idx="19">
                  <c:v>41</c:v>
                </c:pt>
                <c:pt idx="20">
                  <c:v>42</c:v>
                </c:pt>
                <c:pt idx="21">
                  <c:v>43</c:v>
                </c:pt>
                <c:pt idx="22">
                  <c:v>44</c:v>
                </c:pt>
                <c:pt idx="23">
                  <c:v>45</c:v>
                </c:pt>
                <c:pt idx="24">
                  <c:v>44</c:v>
                </c:pt>
                <c:pt idx="25">
                  <c:v>43</c:v>
                </c:pt>
                <c:pt idx="26">
                  <c:v>44</c:v>
                </c:pt>
                <c:pt idx="27">
                  <c:v>43</c:v>
                </c:pt>
                <c:pt idx="28">
                  <c:v>44</c:v>
                </c:pt>
                <c:pt idx="29">
                  <c:v>43</c:v>
                </c:pt>
                <c:pt idx="30">
                  <c:v>44</c:v>
                </c:pt>
                <c:pt idx="31">
                  <c:v>45</c:v>
                </c:pt>
                <c:pt idx="32">
                  <c:v>44</c:v>
                </c:pt>
                <c:pt idx="33">
                  <c:v>43</c:v>
                </c:pt>
                <c:pt idx="34">
                  <c:v>42</c:v>
                </c:pt>
                <c:pt idx="35">
                  <c:v>41</c:v>
                </c:pt>
                <c:pt idx="36">
                  <c:v>42</c:v>
                </c:pt>
                <c:pt idx="37">
                  <c:v>43</c:v>
                </c:pt>
                <c:pt idx="38">
                  <c:v>44</c:v>
                </c:pt>
                <c:pt idx="39">
                  <c:v>43</c:v>
                </c:pt>
                <c:pt idx="40">
                  <c:v>42</c:v>
                </c:pt>
              </c:numCache>
            </c:numRef>
          </c:val>
          <c:smooth val="0"/>
          <c:extLst>
            <c:ext xmlns:c16="http://schemas.microsoft.com/office/drawing/2014/chart" uri="{C3380CC4-5D6E-409C-BE32-E72D297353CC}">
              <c16:uniqueId val="{00000000-FB40-4F87-BA1A-6FDEA926DB8B}"/>
            </c:ext>
          </c:extLst>
        </c:ser>
        <c:dLbls>
          <c:showLegendKey val="0"/>
          <c:showVal val="0"/>
          <c:showCatName val="0"/>
          <c:showSerName val="0"/>
          <c:showPercent val="0"/>
          <c:showBubbleSize val="0"/>
        </c:dLbls>
        <c:smooth val="0"/>
        <c:axId val="320702031"/>
        <c:axId val="320698287"/>
      </c:lineChart>
      <c:catAx>
        <c:axId val="32070203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20698287"/>
        <c:crosses val="autoZero"/>
        <c:auto val="1"/>
        <c:lblAlgn val="ctr"/>
        <c:lblOffset val="100"/>
        <c:noMultiLvlLbl val="0"/>
      </c:catAx>
      <c:valAx>
        <c:axId val="3206982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207020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5</xdr:col>
      <xdr:colOff>342900</xdr:colOff>
      <xdr:row>26</xdr:row>
      <xdr:rowOff>114300</xdr:rowOff>
    </xdr:from>
    <xdr:to>
      <xdr:col>12</xdr:col>
      <xdr:colOff>114300</xdr:colOff>
      <xdr:row>39</xdr:row>
      <xdr:rowOff>171450</xdr:rowOff>
    </xdr:to>
    <xdr:graphicFrame macro="">
      <xdr:nvGraphicFramePr>
        <xdr:cNvPr id="4" name="Chart 3">
          <a:extLst>
            <a:ext uri="{FF2B5EF4-FFF2-40B4-BE49-F238E27FC236}">
              <a16:creationId xmlns:a16="http://schemas.microsoft.com/office/drawing/2014/main" id="{FEA9928D-2035-4AF6-BA7E-1DEB22EAFF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295275</xdr:colOff>
      <xdr:row>103</xdr:row>
      <xdr:rowOff>57150</xdr:rowOff>
    </xdr:from>
    <xdr:to>
      <xdr:col>12</xdr:col>
      <xdr:colOff>66675</xdr:colOff>
      <xdr:row>117</xdr:row>
      <xdr:rowOff>85725</xdr:rowOff>
    </xdr:to>
    <xdr:graphicFrame macro="">
      <xdr:nvGraphicFramePr>
        <xdr:cNvPr id="5" name="Chart 4">
          <a:extLst>
            <a:ext uri="{FF2B5EF4-FFF2-40B4-BE49-F238E27FC236}">
              <a16:creationId xmlns:a16="http://schemas.microsoft.com/office/drawing/2014/main" id="{ABC4C765-9B85-48BE-9BD5-EB6E0B767A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519112</xdr:colOff>
      <xdr:row>13</xdr:row>
      <xdr:rowOff>28575</xdr:rowOff>
    </xdr:from>
    <xdr:to>
      <xdr:col>13</xdr:col>
      <xdr:colOff>261937</xdr:colOff>
      <xdr:row>28</xdr:row>
      <xdr:rowOff>57150</xdr:rowOff>
    </xdr:to>
    <xdr:graphicFrame macro="">
      <xdr:nvGraphicFramePr>
        <xdr:cNvPr id="2" name="Chart 1">
          <a:extLst>
            <a:ext uri="{FF2B5EF4-FFF2-40B4-BE49-F238E27FC236}">
              <a16:creationId xmlns:a16="http://schemas.microsoft.com/office/drawing/2014/main" id="{B7970A9A-90F1-4DF7-A680-41391C759F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11</xdr:col>
      <xdr:colOff>233362</xdr:colOff>
      <xdr:row>7</xdr:row>
      <xdr:rowOff>76200</xdr:rowOff>
    </xdr:from>
    <xdr:to>
      <xdr:col>18</xdr:col>
      <xdr:colOff>4762</xdr:colOff>
      <xdr:row>22</xdr:row>
      <xdr:rowOff>104775</xdr:rowOff>
    </xdr:to>
    <xdr:graphicFrame macro="">
      <xdr:nvGraphicFramePr>
        <xdr:cNvPr id="2" name="Chart 1">
          <a:extLst>
            <a:ext uri="{FF2B5EF4-FFF2-40B4-BE49-F238E27FC236}">
              <a16:creationId xmlns:a16="http://schemas.microsoft.com/office/drawing/2014/main" id="{35013C87-6614-45B9-8AB0-5CD4F169B9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11</xdr:col>
          <xdr:colOff>438150</xdr:colOff>
          <xdr:row>2</xdr:row>
          <xdr:rowOff>28575</xdr:rowOff>
        </xdr:from>
        <xdr:to>
          <xdr:col>13</xdr:col>
          <xdr:colOff>171450</xdr:colOff>
          <xdr:row>4</xdr:row>
          <xdr:rowOff>57150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fiveTen Trigger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2FC0D-9195-49E4-8B01-F31BBA8283E9}">
  <sheetPr codeName="Sheet1"/>
  <dimension ref="A1:E139"/>
  <sheetViews>
    <sheetView tabSelected="1" workbookViewId="0">
      <pane ySplit="1" topLeftCell="A2" activePane="bottomLeft" state="frozen"/>
      <selection pane="bottomLeft" activeCell="C123" sqref="C123"/>
    </sheetView>
  </sheetViews>
  <sheetFormatPr defaultRowHeight="14.25" x14ac:dyDescent="0.2"/>
  <cols>
    <col min="1" max="1" width="8.375" style="3" customWidth="1"/>
    <col min="2" max="2" width="3.25" customWidth="1"/>
    <col min="3" max="3" width="26.625" customWidth="1"/>
    <col min="4" max="4" width="39.875" customWidth="1"/>
    <col min="5" max="5" width="13.125" customWidth="1"/>
  </cols>
  <sheetData>
    <row r="1" spans="1:5" ht="15" thickBot="1" x14ac:dyDescent="0.25">
      <c r="A1" s="39" t="s">
        <v>1</v>
      </c>
      <c r="B1" s="40"/>
      <c r="C1" s="4">
        <v>251016121</v>
      </c>
      <c r="D1" s="5" t="str">
        <f ca="1">hidden!B1</f>
        <v>Welcome to Simulations  Shenghua!</v>
      </c>
      <c r="E1" s="6">
        <f ca="1">SUM(A:A)/COUNT(A:A)</f>
        <v>1</v>
      </c>
    </row>
    <row r="2" spans="1:5" ht="21.95" customHeight="1" x14ac:dyDescent="0.2">
      <c r="C2" s="37" t="s">
        <v>312</v>
      </c>
      <c r="D2" s="37"/>
    </row>
    <row r="3" spans="1:5" ht="19.5" customHeight="1" x14ac:dyDescent="0.25">
      <c r="A3" s="2" t="s">
        <v>304</v>
      </c>
      <c r="B3" s="1"/>
      <c r="C3" s="38" t="s">
        <v>340</v>
      </c>
      <c r="D3" s="38"/>
    </row>
    <row r="4" spans="1:5" ht="56.1" customHeight="1" x14ac:dyDescent="0.2">
      <c r="A4" s="7"/>
      <c r="C4" s="37" t="s">
        <v>341</v>
      </c>
      <c r="D4" s="37"/>
      <c r="E4" s="37"/>
    </row>
    <row r="5" spans="1:5" x14ac:dyDescent="0.2">
      <c r="C5" s="8"/>
      <c r="D5" s="8"/>
    </row>
    <row r="6" spans="1:5" x14ac:dyDescent="0.2">
      <c r="A6" s="3">
        <f ca="1">IF(ISBLANK(C9),0,1)</f>
        <v>1</v>
      </c>
      <c r="B6">
        <f ca="1">IF(ISBLANK(A6),"",COUNT(A$4:A6))</f>
        <v>1</v>
      </c>
      <c r="C6" s="8" t="s">
        <v>342</v>
      </c>
      <c r="D6" s="8"/>
    </row>
    <row r="7" spans="1:5" x14ac:dyDescent="0.2">
      <c r="C7" s="8" t="s">
        <v>343</v>
      </c>
      <c r="D7" s="8"/>
    </row>
    <row r="8" spans="1:5" x14ac:dyDescent="0.2">
      <c r="C8" s="8"/>
      <c r="D8" s="8"/>
    </row>
    <row r="9" spans="1:5" x14ac:dyDescent="0.2">
      <c r="C9" s="35" t="str">
        <f ca="1">IF(RAND()&gt;0.5,"H","T")</f>
        <v>T</v>
      </c>
      <c r="D9" s="36"/>
    </row>
    <row r="10" spans="1:5" x14ac:dyDescent="0.2">
      <c r="C10" s="8"/>
      <c r="D10" s="8"/>
    </row>
    <row r="11" spans="1:5" ht="31.5" customHeight="1" x14ac:dyDescent="0.2">
      <c r="A11" s="3">
        <f>IF(ISBLANK(C13),0,1)</f>
        <v>1</v>
      </c>
      <c r="B11">
        <f ca="1">IF(ISBLANK(A11),"",COUNT(A$4:A11))</f>
        <v>2</v>
      </c>
      <c r="C11" s="37" t="s">
        <v>347</v>
      </c>
      <c r="D11" s="37"/>
      <c r="E11" s="37"/>
    </row>
    <row r="12" spans="1:5" x14ac:dyDescent="0.2">
      <c r="C12" s="8"/>
      <c r="D12" s="8"/>
    </row>
    <row r="13" spans="1:5" x14ac:dyDescent="0.2">
      <c r="C13" s="35" t="s">
        <v>396</v>
      </c>
      <c r="D13" s="36"/>
    </row>
    <row r="14" spans="1:5" x14ac:dyDescent="0.2">
      <c r="C14" s="8"/>
      <c r="D14" s="8"/>
    </row>
    <row r="15" spans="1:5" x14ac:dyDescent="0.2">
      <c r="A15" s="3">
        <f>IF(ISBLANK(C18),0,1)</f>
        <v>1</v>
      </c>
      <c r="B15">
        <f ca="1">IF(ISBLANK(A15),"",COUNT(A$4:A15))</f>
        <v>3</v>
      </c>
      <c r="C15" s="8" t="s">
        <v>348</v>
      </c>
      <c r="D15" s="8"/>
    </row>
    <row r="16" spans="1:5" x14ac:dyDescent="0.2">
      <c r="C16" s="8" t="s">
        <v>345</v>
      </c>
      <c r="D16" s="8"/>
    </row>
    <row r="17" spans="1:5" x14ac:dyDescent="0.2">
      <c r="C17" s="8"/>
      <c r="D17" s="8"/>
    </row>
    <row r="18" spans="1:5" x14ac:dyDescent="0.2">
      <c r="C18" s="35" t="s">
        <v>397</v>
      </c>
      <c r="D18" s="36"/>
    </row>
    <row r="19" spans="1:5" x14ac:dyDescent="0.2">
      <c r="C19" s="8"/>
      <c r="D19" s="8"/>
    </row>
    <row r="20" spans="1:5" x14ac:dyDescent="0.2">
      <c r="A20" s="3">
        <f ca="1">IF(COUNTA(coins!A:E)=(5+hidden!C6*5),1,0)</f>
        <v>1</v>
      </c>
      <c r="B20">
        <f ca="1">IF(ISBLANK(A20),"",COUNT(A$4:A20))</f>
        <v>4</v>
      </c>
      <c r="C20" s="8" t="str">
        <f ca="1">hidden!D6</f>
        <v xml:space="preserve">Copy  coins!A2:E2 to coins!A2:E81 </v>
      </c>
      <c r="D20" s="8"/>
    </row>
    <row r="21" spans="1:5" x14ac:dyDescent="0.2">
      <c r="C21" s="8" t="str">
        <f ca="1">hidden!D7</f>
        <v xml:space="preserve">This should give you 80 trials. </v>
      </c>
      <c r="D21" s="8"/>
    </row>
    <row r="22" spans="1:5" x14ac:dyDescent="0.2">
      <c r="C22" s="8"/>
      <c r="D22" s="8"/>
    </row>
    <row r="23" spans="1:5" x14ac:dyDescent="0.2">
      <c r="A23" s="3">
        <f>IF(ISBLANK(C26),0,1)</f>
        <v>1</v>
      </c>
      <c r="B23">
        <f ca="1">IF(ISBLANK(A23),"",COUNT(A$4:A23))</f>
        <v>5</v>
      </c>
      <c r="C23" s="37" t="s">
        <v>350</v>
      </c>
      <c r="D23" s="37"/>
      <c r="E23" s="37"/>
    </row>
    <row r="24" spans="1:5" x14ac:dyDescent="0.2">
      <c r="C24" s="37" t="s">
        <v>351</v>
      </c>
      <c r="D24" s="37"/>
      <c r="E24" s="37"/>
    </row>
    <row r="25" spans="1:5" x14ac:dyDescent="0.2">
      <c r="C25" s="8"/>
      <c r="D25" s="8"/>
    </row>
    <row r="26" spans="1:5" x14ac:dyDescent="0.2">
      <c r="C26" s="35" t="s">
        <v>400</v>
      </c>
      <c r="D26" s="36"/>
    </row>
    <row r="27" spans="1:5" x14ac:dyDescent="0.2">
      <c r="C27" s="8"/>
      <c r="D27" s="8"/>
    </row>
    <row r="28" spans="1:5" ht="28.5" customHeight="1" x14ac:dyDescent="0.2">
      <c r="A28" s="3">
        <f ca="1">IF(ISBLANK(C31),0,1)</f>
        <v>1</v>
      </c>
      <c r="B28">
        <f ca="1">IF(ISBLANK(A28),"",COUNT(A$4:A28))</f>
        <v>6</v>
      </c>
      <c r="C28" s="37" t="s">
        <v>356</v>
      </c>
      <c r="D28" s="37"/>
      <c r="E28" s="37"/>
    </row>
    <row r="29" spans="1:5" x14ac:dyDescent="0.2">
      <c r="C29" s="37" t="s">
        <v>354</v>
      </c>
      <c r="D29" s="37"/>
      <c r="E29" s="37"/>
    </row>
    <row r="30" spans="1:5" x14ac:dyDescent="0.2">
      <c r="C30" s="8"/>
      <c r="D30" s="8"/>
    </row>
    <row r="31" spans="1:5" x14ac:dyDescent="0.2">
      <c r="C31" s="42">
        <f ca="1">coins!I9</f>
        <v>0.23749999999999999</v>
      </c>
      <c r="D31" s="36"/>
    </row>
    <row r="33" spans="1:5" x14ac:dyDescent="0.2">
      <c r="A33" s="3">
        <v>1</v>
      </c>
      <c r="B33">
        <f ca="1">IF(ISBLANK(A33),"",COUNT(A$4:A33))</f>
        <v>7</v>
      </c>
      <c r="C33" s="37" t="s">
        <v>378</v>
      </c>
      <c r="D33" s="37"/>
      <c r="E33" s="37"/>
    </row>
    <row r="34" spans="1:5" x14ac:dyDescent="0.2">
      <c r="C34" s="8"/>
      <c r="D34" s="8"/>
    </row>
    <row r="35" spans="1:5" ht="26.45" customHeight="1" x14ac:dyDescent="0.2">
      <c r="A35" s="3">
        <f>IF(ISBLANK(C37),0,1)</f>
        <v>1</v>
      </c>
      <c r="B35">
        <f ca="1">IF(ISBLANK(A35),"",COUNT(A$4:A35))</f>
        <v>8</v>
      </c>
      <c r="C35" s="37" t="s">
        <v>355</v>
      </c>
      <c r="D35" s="37"/>
      <c r="E35" s="37"/>
    </row>
    <row r="36" spans="1:5" x14ac:dyDescent="0.2">
      <c r="C36" s="8"/>
      <c r="D36" s="8"/>
    </row>
    <row r="37" spans="1:5" x14ac:dyDescent="0.2">
      <c r="C37" s="35" t="s">
        <v>401</v>
      </c>
      <c r="D37" s="36"/>
    </row>
    <row r="38" spans="1:5" x14ac:dyDescent="0.2">
      <c r="C38" s="8"/>
      <c r="D38" s="8"/>
    </row>
    <row r="39" spans="1:5" ht="14.45" customHeight="1" x14ac:dyDescent="0.25">
      <c r="A39" s="2" t="s">
        <v>301</v>
      </c>
      <c r="B39" s="1"/>
      <c r="C39" s="38" t="s">
        <v>358</v>
      </c>
      <c r="D39" s="38"/>
    </row>
    <row r="40" spans="1:5" ht="111" customHeight="1" x14ac:dyDescent="0.2">
      <c r="A40" s="7"/>
      <c r="C40" s="37" t="s">
        <v>357</v>
      </c>
      <c r="D40" s="37"/>
      <c r="E40" s="37"/>
    </row>
    <row r="41" spans="1:5" x14ac:dyDescent="0.2">
      <c r="C41" s="8"/>
      <c r="D41" s="8"/>
    </row>
    <row r="42" spans="1:5" ht="28.5" customHeight="1" x14ac:dyDescent="0.2">
      <c r="A42" s="3">
        <f>IF(ISBLANK(C44),0,1)</f>
        <v>1</v>
      </c>
      <c r="B42">
        <f>IF(ISBLANK(A42),"",COUNT(A$42:A42))</f>
        <v>1</v>
      </c>
      <c r="C42" s="37" t="s">
        <v>359</v>
      </c>
      <c r="D42" s="37"/>
      <c r="E42" s="37"/>
    </row>
    <row r="43" spans="1:5" x14ac:dyDescent="0.2">
      <c r="B43" t="str">
        <f>IF(ISBLANK(A43),"",COUNT(A$42:A43))</f>
        <v/>
      </c>
      <c r="C43" s="8"/>
      <c r="D43" s="8"/>
    </row>
    <row r="44" spans="1:5" ht="14.45" customHeight="1" x14ac:dyDescent="0.2">
      <c r="B44" t="str">
        <f>IF(ISBLANK(A44),"",COUNT(A$42:A44))</f>
        <v/>
      </c>
      <c r="C44" s="35" t="s">
        <v>402</v>
      </c>
      <c r="D44" s="35"/>
    </row>
    <row r="45" spans="1:5" x14ac:dyDescent="0.2">
      <c r="B45" t="str">
        <f>IF(ISBLANK(A45),"",COUNT(A$42:A45))</f>
        <v/>
      </c>
    </row>
    <row r="46" spans="1:5" ht="32.1" customHeight="1" x14ac:dyDescent="0.2">
      <c r="A46" s="3">
        <f>IF(ISBLANK(C48),0,1)</f>
        <v>1</v>
      </c>
      <c r="B46">
        <f>IF(ISBLANK(A46),"",COUNT(A$42:A46))</f>
        <v>2</v>
      </c>
      <c r="C46" s="37" t="s">
        <v>360</v>
      </c>
      <c r="D46" s="37"/>
      <c r="E46" s="37"/>
    </row>
    <row r="47" spans="1:5" x14ac:dyDescent="0.2">
      <c r="B47" t="str">
        <f>IF(ISBLANK(A47),"",COUNT(A$42:A47))</f>
        <v/>
      </c>
      <c r="C47" s="8"/>
      <c r="D47" s="8"/>
    </row>
    <row r="48" spans="1:5" ht="35.1" customHeight="1" x14ac:dyDescent="0.2">
      <c r="B48" t="str">
        <f>IF(ISBLANK(A48),"",COUNT(A$42:A48))</f>
        <v/>
      </c>
      <c r="C48" s="35" t="s">
        <v>403</v>
      </c>
      <c r="D48" s="35"/>
    </row>
    <row r="49" spans="1:5" x14ac:dyDescent="0.2">
      <c r="B49" t="str">
        <f>IF(ISBLANK(A49),"",COUNT(A$42:A49))</f>
        <v/>
      </c>
    </row>
    <row r="50" spans="1:5" ht="14.45" customHeight="1" x14ac:dyDescent="0.2">
      <c r="A50" s="3">
        <f>IF(ISBLANK(C52),0,1)</f>
        <v>1</v>
      </c>
      <c r="B50">
        <f>IF(ISBLANK(A50),"",COUNT(A$42:A50))</f>
        <v>3</v>
      </c>
      <c r="C50" s="37" t="s">
        <v>361</v>
      </c>
      <c r="D50" s="37"/>
      <c r="E50" s="37"/>
    </row>
    <row r="51" spans="1:5" x14ac:dyDescent="0.2">
      <c r="B51" t="str">
        <f>IF(ISBLANK(A51),"",COUNT(A$42:A51))</f>
        <v/>
      </c>
      <c r="C51" s="8"/>
      <c r="D51" s="8"/>
    </row>
    <row r="52" spans="1:5" ht="35.1" customHeight="1" x14ac:dyDescent="0.2">
      <c r="B52" t="str">
        <f>IF(ISBLANK(A52),"",COUNT(A$42:A52))</f>
        <v/>
      </c>
      <c r="C52" s="35" t="s">
        <v>404</v>
      </c>
      <c r="D52" s="35"/>
    </row>
    <row r="53" spans="1:5" x14ac:dyDescent="0.2">
      <c r="B53" t="str">
        <f>IF(ISBLANK(A53),"",COUNT(A$42:A53))</f>
        <v/>
      </c>
    </row>
    <row r="54" spans="1:5" ht="28.5" customHeight="1" x14ac:dyDescent="0.2">
      <c r="A54" s="3">
        <f>IF(C56="named range",1,0)</f>
        <v>1</v>
      </c>
      <c r="B54">
        <f>IF(ISBLANK(A54),"",COUNT(A$42:A54))</f>
        <v>4</v>
      </c>
      <c r="C54" s="37" t="s">
        <v>362</v>
      </c>
      <c r="D54" s="37"/>
      <c r="E54" s="37"/>
    </row>
    <row r="55" spans="1:5" x14ac:dyDescent="0.2">
      <c r="B55" t="str">
        <f>IF(ISBLANK(A55),"",COUNT(A$42:A55))</f>
        <v/>
      </c>
      <c r="C55" s="8"/>
      <c r="D55" s="8"/>
    </row>
    <row r="56" spans="1:5" x14ac:dyDescent="0.2">
      <c r="B56" t="str">
        <f>IF(ISBLANK(A56),"",COUNT(A$42:A56))</f>
        <v/>
      </c>
      <c r="C56" s="35" t="s">
        <v>405</v>
      </c>
      <c r="D56" s="35"/>
    </row>
    <row r="57" spans="1:5" x14ac:dyDescent="0.2">
      <c r="B57" t="str">
        <f>IF(ISBLANK(A57),"",COUNT(A$42:A57))</f>
        <v/>
      </c>
      <c r="C57" t="s">
        <v>406</v>
      </c>
    </row>
    <row r="58" spans="1:5" x14ac:dyDescent="0.2">
      <c r="B58" t="str">
        <f>IF(ISBLANK(A58),"",COUNT(A$42:A58))</f>
        <v/>
      </c>
    </row>
    <row r="59" spans="1:5" ht="36.950000000000003" customHeight="1" x14ac:dyDescent="0.2">
      <c r="A59" s="3">
        <f>IF(ISBLANK(C61),0,1)</f>
        <v>1</v>
      </c>
      <c r="B59">
        <f>IF(ISBLANK(A59),"",COUNT(A$42:A59))</f>
        <v>5</v>
      </c>
      <c r="C59" s="37" t="s">
        <v>363</v>
      </c>
      <c r="D59" s="37"/>
      <c r="E59" s="37"/>
    </row>
    <row r="60" spans="1:5" x14ac:dyDescent="0.2">
      <c r="B60" t="str">
        <f>IF(ISBLANK(A60),"",COUNT(A$42:A60))</f>
        <v/>
      </c>
      <c r="C60" s="8"/>
      <c r="D60" s="8"/>
    </row>
    <row r="61" spans="1:5" x14ac:dyDescent="0.2">
      <c r="B61" t="str">
        <f>IF(ISBLANK(A61),"",COUNT(A$42:A61))</f>
        <v/>
      </c>
      <c r="C61" s="35" t="s">
        <v>407</v>
      </c>
      <c r="D61" s="35"/>
    </row>
    <row r="62" spans="1:5" x14ac:dyDescent="0.2">
      <c r="B62" t="str">
        <f>IF(ISBLANK(A62),"",COUNT(A$42:A62))</f>
        <v/>
      </c>
    </row>
    <row r="63" spans="1:5" ht="14.45" customHeight="1" x14ac:dyDescent="0.2">
      <c r="A63" s="3">
        <f>IF(ISBLANK(C65),0,1)</f>
        <v>1</v>
      </c>
      <c r="B63">
        <f>IF(ISBLANK(A63),"",COUNT(A$42:A63))</f>
        <v>6</v>
      </c>
      <c r="C63" s="37" t="s">
        <v>364</v>
      </c>
      <c r="D63" s="37"/>
      <c r="E63" s="37"/>
    </row>
    <row r="64" spans="1:5" x14ac:dyDescent="0.2">
      <c r="B64" t="str">
        <f>IF(ISBLANK(A64),"",COUNT(A$42:A64))</f>
        <v/>
      </c>
      <c r="C64" s="8"/>
      <c r="D64" s="8"/>
    </row>
    <row r="65" spans="1:5" ht="32.450000000000003" customHeight="1" x14ac:dyDescent="0.2">
      <c r="B65" t="str">
        <f>IF(ISBLANK(A65),"",COUNT(A$42:A65))</f>
        <v/>
      </c>
      <c r="C65" s="35" t="s">
        <v>408</v>
      </c>
      <c r="D65" s="35"/>
    </row>
    <row r="66" spans="1:5" x14ac:dyDescent="0.2">
      <c r="B66" t="str">
        <f>IF(ISBLANK(A66),"",COUNT(A$42:A66))</f>
        <v/>
      </c>
    </row>
    <row r="67" spans="1:5" ht="14.45" customHeight="1" x14ac:dyDescent="0.2">
      <c r="A67" s="3">
        <f ca="1">IF(COUNTA(dice!A:E)=(5+hidden!C6*5),1,0)</f>
        <v>1</v>
      </c>
      <c r="B67">
        <f ca="1">IF(ISBLANK(A67),"",COUNT(A$42:A67))</f>
        <v>7</v>
      </c>
      <c r="C67" s="37" t="str">
        <f ca="1">hidden!D10</f>
        <v xml:space="preserve">Copy the dice!A2:G2 to dice!A2:G81 </v>
      </c>
      <c r="D67" s="37"/>
      <c r="E67" s="37"/>
    </row>
    <row r="68" spans="1:5" x14ac:dyDescent="0.2">
      <c r="B68" t="str">
        <f>IF(ISBLANK(A68),"",COUNT(A$42:A68))</f>
        <v/>
      </c>
      <c r="C68" s="8" t="s">
        <v>365</v>
      </c>
      <c r="D68" s="8"/>
    </row>
    <row r="69" spans="1:5" x14ac:dyDescent="0.2">
      <c r="C69" s="8"/>
      <c r="D69" s="8"/>
    </row>
    <row r="70" spans="1:5" ht="14.45" customHeight="1" x14ac:dyDescent="0.2">
      <c r="A70" s="3">
        <f>IF(ISBLANK(C72),0,1)</f>
        <v>1</v>
      </c>
      <c r="B70">
        <f ca="1">IF(ISBLANK(A70),"",COUNT(A$42:A70))</f>
        <v>8</v>
      </c>
      <c r="C70" s="37" t="s">
        <v>367</v>
      </c>
      <c r="D70" s="37"/>
      <c r="E70" s="37"/>
    </row>
    <row r="71" spans="1:5" ht="29.1" customHeight="1" x14ac:dyDescent="0.2">
      <c r="B71" t="str">
        <f>IF(ISBLANK(A71),"",COUNT(A$42:A71))</f>
        <v/>
      </c>
      <c r="C71" s="8"/>
      <c r="D71" s="8"/>
    </row>
    <row r="72" spans="1:5" x14ac:dyDescent="0.2">
      <c r="B72" t="str">
        <f>IF(ISBLANK(A72),"",COUNT(A$42:A72))</f>
        <v/>
      </c>
      <c r="C72" s="35" t="s">
        <v>409</v>
      </c>
      <c r="D72" s="35"/>
    </row>
    <row r="74" spans="1:5" ht="14.45" customHeight="1" x14ac:dyDescent="0.2">
      <c r="A74" s="3">
        <f>IF(ISBLANK(C77),0,1)</f>
        <v>1</v>
      </c>
      <c r="B74">
        <f ca="1">IF(ISBLANK(A74),"",COUNT(A$42:A74))</f>
        <v>9</v>
      </c>
      <c r="C74" s="37" t="s">
        <v>368</v>
      </c>
      <c r="D74" s="37"/>
      <c r="E74" s="37"/>
    </row>
    <row r="75" spans="1:5" x14ac:dyDescent="0.2">
      <c r="B75" t="str">
        <f>IF(ISBLANK(A75),"",COUNT(A$42:A75))</f>
        <v/>
      </c>
      <c r="C75" s="8" t="s">
        <v>369</v>
      </c>
      <c r="D75" s="8"/>
    </row>
    <row r="76" spans="1:5" x14ac:dyDescent="0.2">
      <c r="C76" s="8"/>
      <c r="D76" s="8"/>
    </row>
    <row r="77" spans="1:5" x14ac:dyDescent="0.2">
      <c r="B77" t="str">
        <f>IF(ISBLANK(A77),"",COUNT(A$42:A77))</f>
        <v/>
      </c>
      <c r="C77" s="35" t="s">
        <v>410</v>
      </c>
      <c r="D77" s="35"/>
    </row>
    <row r="79" spans="1:5" x14ac:dyDescent="0.2">
      <c r="A79" s="3">
        <f>IF(C82="conditional formatting",1,0)</f>
        <v>1</v>
      </c>
      <c r="B79">
        <f ca="1">IF(ISBLANK(A79),"",COUNT(A$42:A79))</f>
        <v>10</v>
      </c>
      <c r="C79" s="37" t="s">
        <v>370</v>
      </c>
      <c r="D79" s="37"/>
      <c r="E79" s="37"/>
    </row>
    <row r="80" spans="1:5" x14ac:dyDescent="0.2">
      <c r="B80" t="str">
        <f>IF(ISBLANK(A80),"",COUNT(A$42:A80))</f>
        <v/>
      </c>
      <c r="C80" s="8" t="s">
        <v>371</v>
      </c>
      <c r="D80" s="8"/>
    </row>
    <row r="81" spans="1:5" x14ac:dyDescent="0.2">
      <c r="C81" s="8"/>
      <c r="D81" s="8"/>
    </row>
    <row r="82" spans="1:5" x14ac:dyDescent="0.2">
      <c r="B82" t="str">
        <f>IF(ISBLANK(A82),"",COUNT(A$42:A82))</f>
        <v/>
      </c>
      <c r="C82" s="35" t="s">
        <v>411</v>
      </c>
      <c r="D82" s="35"/>
    </row>
    <row r="84" spans="1:5" ht="14.45" customHeight="1" x14ac:dyDescent="0.2">
      <c r="A84" s="3">
        <f>IF(ISBLANK(C88),0,1)</f>
        <v>1</v>
      </c>
      <c r="B84">
        <f ca="1">IF(ISBLANK(A84),"",COUNT(A$42:A84))</f>
        <v>11</v>
      </c>
      <c r="C84" s="37" t="s">
        <v>374</v>
      </c>
      <c r="D84" s="37"/>
      <c r="E84" s="37"/>
    </row>
    <row r="85" spans="1:5" x14ac:dyDescent="0.2">
      <c r="B85" t="str">
        <f>IF(ISBLANK(A85),"",COUNT(A$42:A85))</f>
        <v/>
      </c>
      <c r="C85" s="8" t="s">
        <v>375</v>
      </c>
      <c r="D85" s="8"/>
    </row>
    <row r="86" spans="1:5" x14ac:dyDescent="0.2">
      <c r="C86" s="8" t="s">
        <v>376</v>
      </c>
      <c r="D86" s="8"/>
    </row>
    <row r="87" spans="1:5" x14ac:dyDescent="0.2">
      <c r="C87" s="8"/>
      <c r="D87" s="8"/>
    </row>
    <row r="88" spans="1:5" x14ac:dyDescent="0.2">
      <c r="B88" t="str">
        <f>IF(ISBLANK(A88),"",COUNT(A$42:A88))</f>
        <v/>
      </c>
      <c r="C88" s="35" t="s">
        <v>412</v>
      </c>
      <c r="D88" s="35"/>
    </row>
    <row r="90" spans="1:5" ht="14.45" customHeight="1" x14ac:dyDescent="0.2">
      <c r="A90" s="3">
        <f>IF(ISBLANK(C92),0,1)</f>
        <v>1</v>
      </c>
      <c r="B90">
        <f ca="1">IF(ISBLANK(A90),"",COUNT(A$42:A90))</f>
        <v>12</v>
      </c>
      <c r="C90" s="37" t="s">
        <v>377</v>
      </c>
      <c r="D90" s="37"/>
      <c r="E90" s="37"/>
    </row>
    <row r="91" spans="1:5" x14ac:dyDescent="0.2">
      <c r="B91" t="str">
        <f>IF(ISBLANK(A91),"",COUNT(A$42:A91))</f>
        <v/>
      </c>
      <c r="C91" s="8"/>
      <c r="D91" s="8"/>
    </row>
    <row r="92" spans="1:5" ht="14.45" customHeight="1" x14ac:dyDescent="0.2">
      <c r="B92" t="str">
        <f>IF(ISBLANK(A92),"",COUNT(A$42:A92))</f>
        <v/>
      </c>
      <c r="C92" s="35" t="s">
        <v>413</v>
      </c>
      <c r="D92" s="35"/>
    </row>
    <row r="94" spans="1:5" ht="15.75" x14ac:dyDescent="0.25">
      <c r="A94" s="2" t="s">
        <v>305</v>
      </c>
      <c r="B94" s="1"/>
      <c r="C94" s="38" t="s">
        <v>379</v>
      </c>
      <c r="D94" s="38"/>
      <c r="E94" s="38"/>
    </row>
    <row r="95" spans="1:5" ht="105" customHeight="1" x14ac:dyDescent="0.2">
      <c r="A95" s="7"/>
      <c r="C95" s="37" t="s">
        <v>382</v>
      </c>
      <c r="D95" s="37"/>
      <c r="E95" s="37"/>
    </row>
    <row r="97" spans="1:5" x14ac:dyDescent="0.2">
      <c r="A97" s="3">
        <v>1</v>
      </c>
      <c r="B97">
        <f>IF(ISBLANK(A97),"",COUNT(A$97:A97))</f>
        <v>1</v>
      </c>
      <c r="C97" s="8" t="s">
        <v>383</v>
      </c>
      <c r="D97" s="8"/>
    </row>
    <row r="98" spans="1:5" x14ac:dyDescent="0.2">
      <c r="B98" t="str">
        <f>IF(ISBLANK(A98),"",COUNT(A$97:A98))</f>
        <v/>
      </c>
      <c r="C98" s="8" t="s">
        <v>381</v>
      </c>
      <c r="D98" s="8"/>
    </row>
    <row r="99" spans="1:5" x14ac:dyDescent="0.2">
      <c r="B99" t="str">
        <f>IF(ISBLANK(A99),"",COUNT(A$97:A99))</f>
        <v/>
      </c>
      <c r="C99" s="8"/>
      <c r="D99" s="8"/>
    </row>
    <row r="100" spans="1:5" ht="29.1" customHeight="1" x14ac:dyDescent="0.2">
      <c r="A100" s="3">
        <f>IF(ISBLANK(C103),0,1)</f>
        <v>1</v>
      </c>
      <c r="B100">
        <f>IF(ISBLANK(A100),"",COUNT(A$97:A100))</f>
        <v>2</v>
      </c>
      <c r="C100" s="37" t="s">
        <v>384</v>
      </c>
      <c r="D100" s="37"/>
      <c r="E100" s="37"/>
    </row>
    <row r="101" spans="1:5" x14ac:dyDescent="0.2">
      <c r="B101" t="str">
        <f>IF(ISBLANK(A101),"",COUNT(A$97:A101))</f>
        <v/>
      </c>
      <c r="C101" s="8" t="s">
        <v>344</v>
      </c>
      <c r="D101" s="8"/>
    </row>
    <row r="102" spans="1:5" x14ac:dyDescent="0.2">
      <c r="B102" t="str">
        <f>IF(ISBLANK(A102),"",COUNT(A$97:A102))</f>
        <v/>
      </c>
      <c r="C102" s="8"/>
      <c r="D102" s="8"/>
    </row>
    <row r="103" spans="1:5" x14ac:dyDescent="0.2">
      <c r="B103" t="str">
        <f>IF(ISBLANK(A103),"",COUNT(A$97:A103))</f>
        <v/>
      </c>
      <c r="C103" s="35" t="s">
        <v>414</v>
      </c>
      <c r="D103" s="36"/>
    </row>
    <row r="104" spans="1:5" x14ac:dyDescent="0.2">
      <c r="B104" t="str">
        <f>IF(ISBLANK(A104),"",COUNT(A$97:A104))</f>
        <v/>
      </c>
      <c r="C104" s="8"/>
      <c r="D104" s="8"/>
    </row>
    <row r="105" spans="1:5" x14ac:dyDescent="0.2">
      <c r="A105" s="3">
        <f ca="1">IF(COUNT(fiveTen!D:D)=(hidden!C13),1,0)</f>
        <v>1</v>
      </c>
      <c r="B105">
        <f ca="1">IF(ISBLANK(A105),"",COUNT(A$97:A105))</f>
        <v>3</v>
      </c>
      <c r="C105" t="str">
        <f ca="1">hidden!D13</f>
        <v xml:space="preserve">Copy the fiveTen!D3:E3 to fiveTen!D3:E42 </v>
      </c>
    </row>
    <row r="106" spans="1:5" x14ac:dyDescent="0.2">
      <c r="B106" t="str">
        <f>IF(ISBLANK(A106),"",COUNT(A$97:A106))</f>
        <v/>
      </c>
      <c r="C106" t="str">
        <f ca="1">hidden!D14</f>
        <v xml:space="preserve">This should give you 40 rows of information. </v>
      </c>
    </row>
    <row r="107" spans="1:5" x14ac:dyDescent="0.2">
      <c r="B107" t="str">
        <f>IF(ISBLANK(A107),"",COUNT(A$97:A107))</f>
        <v/>
      </c>
    </row>
    <row r="108" spans="1:5" x14ac:dyDescent="0.2">
      <c r="A108" s="3">
        <f>IF(_xlfn.ISFORMULA(fiveTen!G1),1,0)</f>
        <v>1</v>
      </c>
      <c r="B108">
        <f ca="1">IF(ISBLANK(A108),"",COUNT(A$97:A108))</f>
        <v>4</v>
      </c>
      <c r="C108" t="s">
        <v>385</v>
      </c>
    </row>
    <row r="109" spans="1:5" x14ac:dyDescent="0.2">
      <c r="B109" t="str">
        <f>IF(ISBLANK(A109),"",COUNT(A$97:A109))</f>
        <v/>
      </c>
    </row>
    <row r="110" spans="1:5" x14ac:dyDescent="0.2">
      <c r="A110" s="3">
        <v>1</v>
      </c>
      <c r="B110">
        <f ca="1">IF(ISBLANK(A110),"",COUNT(A$97:A110))</f>
        <v>5</v>
      </c>
      <c r="C110" s="37" t="s">
        <v>387</v>
      </c>
      <c r="D110" s="37"/>
      <c r="E110" s="37"/>
    </row>
    <row r="111" spans="1:5" x14ac:dyDescent="0.2">
      <c r="B111" t="str">
        <f>IF(ISBLANK(A111),"",COUNT(A$97:A111))</f>
        <v/>
      </c>
      <c r="C111" s="8"/>
      <c r="D111" s="8"/>
    </row>
    <row r="112" spans="1:5" x14ac:dyDescent="0.2">
      <c r="A112" s="3">
        <f>IF(ISBLANK(C115),0,1)</f>
        <v>1</v>
      </c>
      <c r="B112">
        <f ca="1">IF(ISBLANK(A112),"",COUNT(A$97:A112))</f>
        <v>6</v>
      </c>
      <c r="C112" s="37" t="s">
        <v>388</v>
      </c>
      <c r="D112" s="37"/>
      <c r="E112" s="37"/>
    </row>
    <row r="113" spans="1:5" ht="29.1" customHeight="1" x14ac:dyDescent="0.2">
      <c r="B113" t="str">
        <f>IF(ISBLANK(A113),"",COUNT(A$97:A113))</f>
        <v/>
      </c>
      <c r="C113" s="37" t="s">
        <v>389</v>
      </c>
      <c r="D113" s="37"/>
      <c r="E113" s="37"/>
    </row>
    <row r="114" spans="1:5" x14ac:dyDescent="0.2">
      <c r="B114" t="str">
        <f>IF(ISBLANK(A114),"",COUNT(A$97:A114))</f>
        <v/>
      </c>
      <c r="C114" s="8"/>
      <c r="D114" s="8"/>
    </row>
    <row r="115" spans="1:5" x14ac:dyDescent="0.2">
      <c r="B115" t="str">
        <f>IF(ISBLANK(A115),"",COUNT(A$97:A115))</f>
        <v/>
      </c>
      <c r="C115" s="35" t="s">
        <v>417</v>
      </c>
      <c r="D115" s="36"/>
    </row>
    <row r="116" spans="1:5" x14ac:dyDescent="0.2">
      <c r="B116" t="str">
        <f>IF(ISBLANK(A116),"",COUNT(A$97:A116))</f>
        <v/>
      </c>
    </row>
    <row r="117" spans="1:5" x14ac:dyDescent="0.2">
      <c r="A117" s="3">
        <v>1</v>
      </c>
      <c r="B117">
        <f ca="1">IF(ISBLANK(A117),"",COUNT(A$97:A117))</f>
        <v>7</v>
      </c>
      <c r="C117" s="8" t="s">
        <v>386</v>
      </c>
      <c r="D117" s="8"/>
    </row>
    <row r="118" spans="1:5" x14ac:dyDescent="0.2">
      <c r="C118" s="8"/>
      <c r="D118" s="8"/>
    </row>
    <row r="119" spans="1:5" x14ac:dyDescent="0.2">
      <c r="A119" s="3">
        <f>IF(ISBLANK(C122),0,1)</f>
        <v>1</v>
      </c>
      <c r="B119">
        <f ca="1">IF(ISBLANK(A119),"",COUNT(A$97:A119))</f>
        <v>8</v>
      </c>
      <c r="C119" s="37" t="s">
        <v>390</v>
      </c>
      <c r="D119" s="37"/>
      <c r="E119" s="37"/>
    </row>
    <row r="120" spans="1:5" x14ac:dyDescent="0.2">
      <c r="B120" t="str">
        <f>IF(ISBLANK(A120),"",COUNT(A$97:A120))</f>
        <v/>
      </c>
      <c r="C120" s="37" t="s">
        <v>391</v>
      </c>
      <c r="D120" s="37"/>
      <c r="E120" s="37"/>
    </row>
    <row r="121" spans="1:5" x14ac:dyDescent="0.2">
      <c r="B121" t="str">
        <f>IF(ISBLANK(A121),"",COUNT(A$97:A121))</f>
        <v/>
      </c>
      <c r="C121" s="8"/>
      <c r="D121" s="8"/>
    </row>
    <row r="122" spans="1:5" x14ac:dyDescent="0.2">
      <c r="B122" t="str">
        <f>IF(ISBLANK(A122),"",COUNT(A$97:A122))</f>
        <v/>
      </c>
      <c r="C122" s="35" t="s">
        <v>415</v>
      </c>
      <c r="D122" s="36"/>
    </row>
    <row r="123" spans="1:5" x14ac:dyDescent="0.2">
      <c r="B123" t="str">
        <f>IF(ISBLANK(A123),"",COUNT(A$97:A123))</f>
        <v/>
      </c>
    </row>
    <row r="124" spans="1:5" x14ac:dyDescent="0.2">
      <c r="A124" s="3">
        <f>IF(ISBLANK(C126),0,1)</f>
        <v>1</v>
      </c>
      <c r="B124">
        <f ca="1">IF(ISBLANK(A124),"",COUNT(A$97:A124))</f>
        <v>9</v>
      </c>
      <c r="C124" s="37" t="s">
        <v>392</v>
      </c>
      <c r="D124" s="37"/>
      <c r="E124" s="37"/>
    </row>
    <row r="125" spans="1:5" x14ac:dyDescent="0.2">
      <c r="B125" t="str">
        <f>IF(ISBLANK(A125),"",COUNT(A$97:A125))</f>
        <v/>
      </c>
      <c r="C125" s="8"/>
      <c r="D125" s="8"/>
    </row>
    <row r="126" spans="1:5" x14ac:dyDescent="0.2">
      <c r="B126" t="str">
        <f>IF(ISBLANK(A126),"",COUNT(A$97:A126))</f>
        <v/>
      </c>
      <c r="C126" s="35" t="s">
        <v>416</v>
      </c>
      <c r="D126" s="36"/>
    </row>
    <row r="127" spans="1:5" x14ac:dyDescent="0.2">
      <c r="B127" t="str">
        <f>IF(ISBLANK(A127),"",COUNT(A$97:A127))</f>
        <v/>
      </c>
    </row>
    <row r="128" spans="1:5" ht="14.45" customHeight="1" x14ac:dyDescent="0.2">
      <c r="A128" s="3">
        <f>IF(ISBLANK(C130),0,1)</f>
        <v>1</v>
      </c>
      <c r="B128">
        <f ca="1">IF(ISBLANK(A128),"",COUNT(A$97:A128))</f>
        <v>10</v>
      </c>
      <c r="C128" s="37" t="s">
        <v>393</v>
      </c>
      <c r="D128" s="37"/>
      <c r="E128" s="37"/>
    </row>
    <row r="129" spans="1:5" x14ac:dyDescent="0.2">
      <c r="B129" t="str">
        <f>IF(ISBLANK(A129),"",COUNT(A$97:A129))</f>
        <v/>
      </c>
      <c r="C129" s="8"/>
      <c r="D129" s="8"/>
    </row>
    <row r="130" spans="1:5" x14ac:dyDescent="0.2">
      <c r="B130" t="str">
        <f>IF(ISBLANK(A130),"",COUNT(A$97:A130))</f>
        <v/>
      </c>
      <c r="C130" s="35" t="s">
        <v>418</v>
      </c>
      <c r="D130" s="36"/>
    </row>
    <row r="131" spans="1:5" x14ac:dyDescent="0.2">
      <c r="B131" t="str">
        <f>IF(ISBLANK(A131),"",COUNT(A$97:A131))</f>
        <v/>
      </c>
    </row>
    <row r="132" spans="1:5" ht="35.1" customHeight="1" x14ac:dyDescent="0.2">
      <c r="A132" s="3">
        <f>IF(ISBLANK(C134),0,1)</f>
        <v>1</v>
      </c>
      <c r="B132">
        <f ca="1">IF(ISBLANK(A132),"",COUNT(A$97:A132))</f>
        <v>11</v>
      </c>
      <c r="C132" s="37" t="s">
        <v>394</v>
      </c>
      <c r="D132" s="37"/>
      <c r="E132" s="37"/>
    </row>
    <row r="133" spans="1:5" x14ac:dyDescent="0.2">
      <c r="B133" t="str">
        <f>IF(ISBLANK(A133),"",COUNT(A$97:A133))</f>
        <v/>
      </c>
      <c r="C133" s="8"/>
      <c r="D133" s="8"/>
    </row>
    <row r="134" spans="1:5" x14ac:dyDescent="0.2">
      <c r="B134" t="str">
        <f>IF(ISBLANK(A134),"",COUNT(A$97:A134))</f>
        <v/>
      </c>
      <c r="C134" s="35" t="s">
        <v>419</v>
      </c>
      <c r="D134" s="36"/>
    </row>
    <row r="135" spans="1:5" x14ac:dyDescent="0.2">
      <c r="B135" t="str">
        <f>IF(ISBLANK(A135),"",COUNT(A$97:A135))</f>
        <v/>
      </c>
    </row>
    <row r="136" spans="1:5" x14ac:dyDescent="0.2">
      <c r="A136" s="3">
        <f>IF(ISBLANK(C138),0,1)</f>
        <v>1</v>
      </c>
      <c r="B136">
        <f ca="1">IF(ISBLANK(A136),"",COUNT(A$97:A136))</f>
        <v>12</v>
      </c>
      <c r="C136" s="37" t="s">
        <v>395</v>
      </c>
      <c r="D136" s="37"/>
      <c r="E136" s="37"/>
    </row>
    <row r="137" spans="1:5" x14ac:dyDescent="0.2">
      <c r="B137" t="str">
        <f>IF(ISBLANK(A137),"",COUNT(A$97:A137))</f>
        <v/>
      </c>
      <c r="C137" s="8"/>
      <c r="D137" s="8"/>
    </row>
    <row r="138" spans="1:5" ht="33.6" customHeight="1" x14ac:dyDescent="0.2">
      <c r="B138" t="str">
        <f>IF(ISBLANK(A138),"",COUNT(A$97:A138))</f>
        <v/>
      </c>
      <c r="C138" s="35" t="s">
        <v>420</v>
      </c>
      <c r="D138" s="36"/>
    </row>
    <row r="139" spans="1:5" x14ac:dyDescent="0.2">
      <c r="B139" t="str">
        <f>IF(ISBLANK(A139),"",COUNT(A$97:A139))</f>
        <v/>
      </c>
    </row>
  </sheetData>
  <mergeCells count="61">
    <mergeCell ref="C130:D130"/>
    <mergeCell ref="C134:D134"/>
    <mergeCell ref="C132:E132"/>
    <mergeCell ref="C136:E136"/>
    <mergeCell ref="C138:D138"/>
    <mergeCell ref="C124:E124"/>
    <mergeCell ref="C126:D126"/>
    <mergeCell ref="C128:E128"/>
    <mergeCell ref="C115:D115"/>
    <mergeCell ref="C113:E113"/>
    <mergeCell ref="C119:E119"/>
    <mergeCell ref="C120:E120"/>
    <mergeCell ref="C122:D122"/>
    <mergeCell ref="C103:D103"/>
    <mergeCell ref="C100:E100"/>
    <mergeCell ref="C110:E110"/>
    <mergeCell ref="C112:E112"/>
    <mergeCell ref="C33:E33"/>
    <mergeCell ref="C95:E95"/>
    <mergeCell ref="C94:E94"/>
    <mergeCell ref="C82:D82"/>
    <mergeCell ref="C84:E84"/>
    <mergeCell ref="C88:D88"/>
    <mergeCell ref="C90:E90"/>
    <mergeCell ref="C92:D92"/>
    <mergeCell ref="C70:E70"/>
    <mergeCell ref="C72:D72"/>
    <mergeCell ref="C74:E74"/>
    <mergeCell ref="C77:D77"/>
    <mergeCell ref="C56:D56"/>
    <mergeCell ref="C59:E59"/>
    <mergeCell ref="C79:E79"/>
    <mergeCell ref="C61:D61"/>
    <mergeCell ref="C63:E63"/>
    <mergeCell ref="C65:D65"/>
    <mergeCell ref="C67:E67"/>
    <mergeCell ref="C46:E46"/>
    <mergeCell ref="C48:D48"/>
    <mergeCell ref="C50:E50"/>
    <mergeCell ref="C52:D52"/>
    <mergeCell ref="C54:E54"/>
    <mergeCell ref="A1:B1"/>
    <mergeCell ref="C2:D2"/>
    <mergeCell ref="C3:D3"/>
    <mergeCell ref="C9:D9"/>
    <mergeCell ref="C4:E4"/>
    <mergeCell ref="C13:D13"/>
    <mergeCell ref="C11:E11"/>
    <mergeCell ref="C18:D18"/>
    <mergeCell ref="C24:E24"/>
    <mergeCell ref="C44:D44"/>
    <mergeCell ref="C39:D39"/>
    <mergeCell ref="C37:D37"/>
    <mergeCell ref="C23:E23"/>
    <mergeCell ref="C26:D26"/>
    <mergeCell ref="C28:E28"/>
    <mergeCell ref="C29:E29"/>
    <mergeCell ref="C31:D31"/>
    <mergeCell ref="C35:E35"/>
    <mergeCell ref="C40:E40"/>
    <mergeCell ref="C42:E42"/>
  </mergeCells>
  <phoneticPr fontId="3" type="noConversion"/>
  <conditionalFormatting sqref="B2:B9 B17 B35:B37 B67:B69 B33 B97:B111 B116 B124:B126 B128:B130">
    <cfRule type="expression" dxfId="126" priority="294">
      <formula>A2=1</formula>
    </cfRule>
  </conditionalFormatting>
  <conditionalFormatting sqref="A1:A8 A18:A22 A35:A37 A45 A58 A73 A83 A89 A93 A96 A106:A107 A124:A126 A128:A130 A132:A135 A140:A1048576">
    <cfRule type="expression" dxfId="125" priority="217">
      <formula>_xlfn.ISFORMULA(A1)</formula>
    </cfRule>
  </conditionalFormatting>
  <conditionalFormatting sqref="A6:A9">
    <cfRule type="expression" dxfId="124" priority="200">
      <formula>_xlfn.ISFORMULA(A6)</formula>
    </cfRule>
  </conditionalFormatting>
  <conditionalFormatting sqref="B10:B12">
    <cfRule type="expression" dxfId="123" priority="152">
      <formula>A10=1</formula>
    </cfRule>
  </conditionalFormatting>
  <conditionalFormatting sqref="A10:A12">
    <cfRule type="expression" dxfId="122" priority="151">
      <formula>_xlfn.ISFORMULA(A10)</formula>
    </cfRule>
  </conditionalFormatting>
  <conditionalFormatting sqref="B11:B14">
    <cfRule type="expression" dxfId="121" priority="150">
      <formula>A11=1</formula>
    </cfRule>
  </conditionalFormatting>
  <conditionalFormatting sqref="A11:A14">
    <cfRule type="expression" dxfId="120" priority="149">
      <formula>_xlfn.ISFORMULA(A11)</formula>
    </cfRule>
  </conditionalFormatting>
  <conditionalFormatting sqref="B15 B17">
    <cfRule type="expression" dxfId="119" priority="145">
      <formula>A15=1</formula>
    </cfRule>
  </conditionalFormatting>
  <conditionalFormatting sqref="A15 A17">
    <cfRule type="expression" dxfId="118" priority="144">
      <formula>_xlfn.ISFORMULA(A15)</formula>
    </cfRule>
  </conditionalFormatting>
  <conditionalFormatting sqref="B15">
    <cfRule type="expression" dxfId="117" priority="143">
      <formula>A15=1</formula>
    </cfRule>
  </conditionalFormatting>
  <conditionalFormatting sqref="A15 A17">
    <cfRule type="expression" dxfId="116" priority="142">
      <formula>_xlfn.ISFORMULA(A15)</formula>
    </cfRule>
  </conditionalFormatting>
  <conditionalFormatting sqref="B16">
    <cfRule type="expression" dxfId="115" priority="141">
      <formula>A16=1</formula>
    </cfRule>
  </conditionalFormatting>
  <conditionalFormatting sqref="A16">
    <cfRule type="expression" dxfId="114" priority="140">
      <formula>_xlfn.ISFORMULA(A16)</formula>
    </cfRule>
  </conditionalFormatting>
  <conditionalFormatting sqref="A16">
    <cfRule type="expression" dxfId="113" priority="139">
      <formula>_xlfn.ISFORMULA(A16)</formula>
    </cfRule>
  </conditionalFormatting>
  <conditionalFormatting sqref="B22">
    <cfRule type="expression" dxfId="112" priority="138">
      <formula>A22=1</formula>
    </cfRule>
  </conditionalFormatting>
  <conditionalFormatting sqref="B15 B17">
    <cfRule type="expression" dxfId="111" priority="137">
      <formula>A15=1</formula>
    </cfRule>
  </conditionalFormatting>
  <conditionalFormatting sqref="A15 A17">
    <cfRule type="expression" dxfId="110" priority="136">
      <formula>_xlfn.ISFORMULA(A15)</formula>
    </cfRule>
  </conditionalFormatting>
  <conditionalFormatting sqref="B15 B17:B19">
    <cfRule type="expression" dxfId="109" priority="135">
      <formula>A15=1</formula>
    </cfRule>
  </conditionalFormatting>
  <conditionalFormatting sqref="A15 A17:A19">
    <cfRule type="expression" dxfId="108" priority="134">
      <formula>_xlfn.ISFORMULA(A15)</formula>
    </cfRule>
  </conditionalFormatting>
  <conditionalFormatting sqref="B16">
    <cfRule type="expression" dxfId="107" priority="133">
      <formula>A16=1</formula>
    </cfRule>
  </conditionalFormatting>
  <conditionalFormatting sqref="A16">
    <cfRule type="expression" dxfId="106" priority="132">
      <formula>_xlfn.ISFORMULA(A16)</formula>
    </cfRule>
  </conditionalFormatting>
  <conditionalFormatting sqref="A16">
    <cfRule type="expression" dxfId="105" priority="131">
      <formula>_xlfn.ISFORMULA(A16)</formula>
    </cfRule>
  </conditionalFormatting>
  <conditionalFormatting sqref="B20 B22">
    <cfRule type="expression" dxfId="104" priority="130">
      <formula>A20=1</formula>
    </cfRule>
  </conditionalFormatting>
  <conditionalFormatting sqref="A20 A22">
    <cfRule type="expression" dxfId="103" priority="129">
      <formula>_xlfn.ISFORMULA(A20)</formula>
    </cfRule>
  </conditionalFormatting>
  <conditionalFormatting sqref="B20">
    <cfRule type="expression" dxfId="102" priority="128">
      <formula>A20=1</formula>
    </cfRule>
  </conditionalFormatting>
  <conditionalFormatting sqref="A20 A22">
    <cfRule type="expression" dxfId="101" priority="127">
      <formula>_xlfn.ISFORMULA(A20)</formula>
    </cfRule>
  </conditionalFormatting>
  <conditionalFormatting sqref="B21">
    <cfRule type="expression" dxfId="100" priority="126">
      <formula>A21=1</formula>
    </cfRule>
  </conditionalFormatting>
  <conditionalFormatting sqref="A21">
    <cfRule type="expression" dxfId="99" priority="125">
      <formula>_xlfn.ISFORMULA(A21)</formula>
    </cfRule>
  </conditionalFormatting>
  <conditionalFormatting sqref="A21">
    <cfRule type="expression" dxfId="98" priority="124">
      <formula>_xlfn.ISFORMULA(A21)</formula>
    </cfRule>
  </conditionalFormatting>
  <conditionalFormatting sqref="B23:B25">
    <cfRule type="expression" dxfId="97" priority="123">
      <formula>A23=1</formula>
    </cfRule>
  </conditionalFormatting>
  <conditionalFormatting sqref="A23:A25">
    <cfRule type="expression" dxfId="96" priority="122">
      <formula>_xlfn.ISFORMULA(A23)</formula>
    </cfRule>
  </conditionalFormatting>
  <conditionalFormatting sqref="B23:B27">
    <cfRule type="expression" dxfId="95" priority="121">
      <formula>A23=1</formula>
    </cfRule>
  </conditionalFormatting>
  <conditionalFormatting sqref="A23:A27">
    <cfRule type="expression" dxfId="94" priority="120">
      <formula>_xlfn.ISFORMULA(A23)</formula>
    </cfRule>
  </conditionalFormatting>
  <conditionalFormatting sqref="B28:B30">
    <cfRule type="expression" dxfId="93" priority="119">
      <formula>A28=1</formula>
    </cfRule>
  </conditionalFormatting>
  <conditionalFormatting sqref="A28:A30">
    <cfRule type="expression" dxfId="92" priority="118">
      <formula>_xlfn.ISFORMULA(A28)</formula>
    </cfRule>
  </conditionalFormatting>
  <conditionalFormatting sqref="B28:B32 B34">
    <cfRule type="expression" dxfId="91" priority="117">
      <formula>A28=1</formula>
    </cfRule>
  </conditionalFormatting>
  <conditionalFormatting sqref="A28:A32 A34">
    <cfRule type="expression" dxfId="90" priority="116">
      <formula>_xlfn.ISFORMULA(A28)</formula>
    </cfRule>
  </conditionalFormatting>
  <conditionalFormatting sqref="B38">
    <cfRule type="expression" dxfId="89" priority="112">
      <formula>A38=1</formula>
    </cfRule>
  </conditionalFormatting>
  <conditionalFormatting sqref="A38">
    <cfRule type="expression" dxfId="88" priority="111">
      <formula>_xlfn.ISFORMULA(A38)</formula>
    </cfRule>
  </conditionalFormatting>
  <conditionalFormatting sqref="B39:B41">
    <cfRule type="expression" dxfId="87" priority="110">
      <formula>A39=1</formula>
    </cfRule>
  </conditionalFormatting>
  <conditionalFormatting sqref="A39:A41">
    <cfRule type="expression" dxfId="86" priority="109">
      <formula>_xlfn.ISFORMULA(A39)</formula>
    </cfRule>
  </conditionalFormatting>
  <conditionalFormatting sqref="B42:B58">
    <cfRule type="expression" dxfId="85" priority="108">
      <formula>A42=1</formula>
    </cfRule>
  </conditionalFormatting>
  <conditionalFormatting sqref="A42:A44">
    <cfRule type="expression" dxfId="84" priority="107">
      <formula>_xlfn.ISFORMULA(A42)</formula>
    </cfRule>
  </conditionalFormatting>
  <conditionalFormatting sqref="A49">
    <cfRule type="expression" dxfId="83" priority="106">
      <formula>_xlfn.ISFORMULA(A49)</formula>
    </cfRule>
  </conditionalFormatting>
  <conditionalFormatting sqref="A46:A48">
    <cfRule type="expression" dxfId="82" priority="104">
      <formula>_xlfn.ISFORMULA(A46)</formula>
    </cfRule>
  </conditionalFormatting>
  <conditionalFormatting sqref="A53">
    <cfRule type="expression" dxfId="81" priority="103">
      <formula>_xlfn.ISFORMULA(A53)</formula>
    </cfRule>
  </conditionalFormatting>
  <conditionalFormatting sqref="A50:A52">
    <cfRule type="expression" dxfId="80" priority="101">
      <formula>_xlfn.ISFORMULA(A50)</formula>
    </cfRule>
  </conditionalFormatting>
  <conditionalFormatting sqref="A57">
    <cfRule type="expression" dxfId="79" priority="100">
      <formula>_xlfn.ISFORMULA(A57)</formula>
    </cfRule>
  </conditionalFormatting>
  <conditionalFormatting sqref="A54:A56">
    <cfRule type="expression" dxfId="78" priority="98">
      <formula>_xlfn.ISFORMULA(A54)</formula>
    </cfRule>
  </conditionalFormatting>
  <conditionalFormatting sqref="B59:B62">
    <cfRule type="expression" dxfId="77" priority="97">
      <formula>A59=1</formula>
    </cfRule>
  </conditionalFormatting>
  <conditionalFormatting sqref="A62">
    <cfRule type="expression" dxfId="76" priority="96">
      <formula>_xlfn.ISFORMULA(A62)</formula>
    </cfRule>
  </conditionalFormatting>
  <conditionalFormatting sqref="A60:A61">
    <cfRule type="expression" dxfId="75" priority="95">
      <formula>_xlfn.ISFORMULA(A60)</formula>
    </cfRule>
  </conditionalFormatting>
  <conditionalFormatting sqref="A59">
    <cfRule type="expression" dxfId="74" priority="94">
      <formula>_xlfn.ISFORMULA(A59)</formula>
    </cfRule>
  </conditionalFormatting>
  <conditionalFormatting sqref="B63:B66">
    <cfRule type="expression" dxfId="73" priority="93">
      <formula>A63=1</formula>
    </cfRule>
  </conditionalFormatting>
  <conditionalFormatting sqref="A66">
    <cfRule type="expression" dxfId="72" priority="92">
      <formula>_xlfn.ISFORMULA(A66)</formula>
    </cfRule>
  </conditionalFormatting>
  <conditionalFormatting sqref="A64:A65">
    <cfRule type="expression" dxfId="71" priority="91">
      <formula>_xlfn.ISFORMULA(A64)</formula>
    </cfRule>
  </conditionalFormatting>
  <conditionalFormatting sqref="A63">
    <cfRule type="expression" dxfId="70" priority="90">
      <formula>_xlfn.ISFORMULA(A63)</formula>
    </cfRule>
  </conditionalFormatting>
  <conditionalFormatting sqref="A68:A69">
    <cfRule type="expression" dxfId="69" priority="87">
      <formula>_xlfn.ISFORMULA(A68)</formula>
    </cfRule>
  </conditionalFormatting>
  <conditionalFormatting sqref="A67">
    <cfRule type="expression" dxfId="68" priority="86">
      <formula>_xlfn.ISFORMULA(A67)</formula>
    </cfRule>
  </conditionalFormatting>
  <conditionalFormatting sqref="B70:B72">
    <cfRule type="expression" dxfId="67" priority="85">
      <formula>A70=1</formula>
    </cfRule>
  </conditionalFormatting>
  <conditionalFormatting sqref="A71:A72">
    <cfRule type="expression" dxfId="66" priority="84">
      <formula>_xlfn.ISFORMULA(A71)</formula>
    </cfRule>
  </conditionalFormatting>
  <conditionalFormatting sqref="A70">
    <cfRule type="expression" dxfId="65" priority="83">
      <formula>_xlfn.ISFORMULA(A70)</formula>
    </cfRule>
  </conditionalFormatting>
  <conditionalFormatting sqref="A78">
    <cfRule type="expression" dxfId="64" priority="82">
      <formula>_xlfn.ISFORMULA(A78)</formula>
    </cfRule>
  </conditionalFormatting>
  <conditionalFormatting sqref="B74:B77">
    <cfRule type="expression" dxfId="63" priority="81">
      <formula>A74=1</formula>
    </cfRule>
  </conditionalFormatting>
  <conditionalFormatting sqref="A75:A77">
    <cfRule type="expression" dxfId="62" priority="80">
      <formula>_xlfn.ISFORMULA(A75)</formula>
    </cfRule>
  </conditionalFormatting>
  <conditionalFormatting sqref="A74">
    <cfRule type="expression" dxfId="61" priority="79">
      <formula>_xlfn.ISFORMULA(A74)</formula>
    </cfRule>
  </conditionalFormatting>
  <conditionalFormatting sqref="B79:B82">
    <cfRule type="expression" dxfId="60" priority="78">
      <formula>A79=1</formula>
    </cfRule>
  </conditionalFormatting>
  <conditionalFormatting sqref="A80:A82">
    <cfRule type="expression" dxfId="59" priority="77">
      <formula>_xlfn.ISFORMULA(A80)</formula>
    </cfRule>
  </conditionalFormatting>
  <conditionalFormatting sqref="A79">
    <cfRule type="expression" dxfId="58" priority="75">
      <formula>_xlfn.ISFORMULA(A79)</formula>
    </cfRule>
  </conditionalFormatting>
  <conditionalFormatting sqref="B84:B88">
    <cfRule type="expression" dxfId="57" priority="74">
      <formula>A84=1</formula>
    </cfRule>
  </conditionalFormatting>
  <conditionalFormatting sqref="A85:A88">
    <cfRule type="expression" dxfId="56" priority="73">
      <formula>_xlfn.ISFORMULA(A85)</formula>
    </cfRule>
  </conditionalFormatting>
  <conditionalFormatting sqref="A84">
    <cfRule type="expression" dxfId="55" priority="71">
      <formula>_xlfn.ISFORMULA(A84)</formula>
    </cfRule>
  </conditionalFormatting>
  <conditionalFormatting sqref="B90:B92">
    <cfRule type="expression" dxfId="54" priority="70">
      <formula>A90=1</formula>
    </cfRule>
  </conditionalFormatting>
  <conditionalFormatting sqref="A91:A92">
    <cfRule type="expression" dxfId="53" priority="69">
      <formula>_xlfn.ISFORMULA(A91)</formula>
    </cfRule>
  </conditionalFormatting>
  <conditionalFormatting sqref="A90">
    <cfRule type="expression" dxfId="52" priority="68">
      <formula>_xlfn.ISFORMULA(A90)</formula>
    </cfRule>
  </conditionalFormatting>
  <conditionalFormatting sqref="A33">
    <cfRule type="expression" dxfId="51" priority="66">
      <formula>_xlfn.ISFORMULA(A33)</formula>
    </cfRule>
  </conditionalFormatting>
  <conditionalFormatting sqref="A33">
    <cfRule type="expression" dxfId="50" priority="64">
      <formula>_xlfn.ISFORMULA(A33)</formula>
    </cfRule>
  </conditionalFormatting>
  <conditionalFormatting sqref="B94:B95">
    <cfRule type="expression" dxfId="49" priority="63">
      <formula>A94=1</formula>
    </cfRule>
  </conditionalFormatting>
  <conditionalFormatting sqref="A94:A95">
    <cfRule type="expression" dxfId="48" priority="62">
      <formula>_xlfn.ISFORMULA(A94)</formula>
    </cfRule>
  </conditionalFormatting>
  <conditionalFormatting sqref="A97:A99">
    <cfRule type="expression" dxfId="47" priority="60">
      <formula>_xlfn.ISFORMULA(A97)</formula>
    </cfRule>
  </conditionalFormatting>
  <conditionalFormatting sqref="A97:A99">
    <cfRule type="expression" dxfId="46" priority="59">
      <formula>_xlfn.ISFORMULA(A97)</formula>
    </cfRule>
  </conditionalFormatting>
  <conditionalFormatting sqref="A100:A102">
    <cfRule type="expression" dxfId="45" priority="55">
      <formula>_xlfn.ISFORMULA(A100)</formula>
    </cfRule>
  </conditionalFormatting>
  <conditionalFormatting sqref="A100:A103">
    <cfRule type="expression" dxfId="44" priority="54">
      <formula>_xlfn.ISFORMULA(A100)</formula>
    </cfRule>
  </conditionalFormatting>
  <conditionalFormatting sqref="A104">
    <cfRule type="expression" dxfId="43" priority="52">
      <formula>_xlfn.ISFORMULA(A104)</formula>
    </cfRule>
  </conditionalFormatting>
  <conditionalFormatting sqref="A105">
    <cfRule type="expression" dxfId="42" priority="50">
      <formula>_xlfn.ISFORMULA(A105)</formula>
    </cfRule>
  </conditionalFormatting>
  <conditionalFormatting sqref="A105">
    <cfRule type="expression" dxfId="41" priority="49">
      <formula>_xlfn.ISFORMULA(A105)</formula>
    </cfRule>
  </conditionalFormatting>
  <conditionalFormatting sqref="A109">
    <cfRule type="expression" dxfId="40" priority="48">
      <formula>_xlfn.ISFORMULA(A109)</formula>
    </cfRule>
  </conditionalFormatting>
  <conditionalFormatting sqref="A108">
    <cfRule type="expression" dxfId="39" priority="46">
      <formula>_xlfn.ISFORMULA(A108)</formula>
    </cfRule>
  </conditionalFormatting>
  <conditionalFormatting sqref="A108">
    <cfRule type="expression" dxfId="38" priority="45">
      <formula>_xlfn.ISFORMULA(A108)</formula>
    </cfRule>
  </conditionalFormatting>
  <conditionalFormatting sqref="A111">
    <cfRule type="expression" dxfId="37" priority="42">
      <formula>_xlfn.ISFORMULA(A111)</formula>
    </cfRule>
  </conditionalFormatting>
  <conditionalFormatting sqref="A111">
    <cfRule type="expression" dxfId="36" priority="41">
      <formula>_xlfn.ISFORMULA(A111)</formula>
    </cfRule>
  </conditionalFormatting>
  <conditionalFormatting sqref="A116">
    <cfRule type="expression" dxfId="35" priority="39">
      <formula>_xlfn.ISFORMULA(A116)</formula>
    </cfRule>
  </conditionalFormatting>
  <conditionalFormatting sqref="B117:B118">
    <cfRule type="expression" dxfId="34" priority="38">
      <formula>A117=1</formula>
    </cfRule>
  </conditionalFormatting>
  <conditionalFormatting sqref="A117:A118">
    <cfRule type="expression" dxfId="33" priority="37">
      <formula>_xlfn.ISFORMULA(A117)</formula>
    </cfRule>
  </conditionalFormatting>
  <conditionalFormatting sqref="A117:A118">
    <cfRule type="expression" dxfId="32" priority="36">
      <formula>_xlfn.ISFORMULA(A117)</formula>
    </cfRule>
  </conditionalFormatting>
  <conditionalFormatting sqref="A110">
    <cfRule type="expression" dxfId="31" priority="34">
      <formula>_xlfn.ISFORMULA(A110)</formula>
    </cfRule>
  </conditionalFormatting>
  <conditionalFormatting sqref="A110">
    <cfRule type="expression" dxfId="30" priority="33">
      <formula>_xlfn.ISFORMULA(A110)</formula>
    </cfRule>
  </conditionalFormatting>
  <conditionalFormatting sqref="B113:B115">
    <cfRule type="expression" dxfId="29" priority="32">
      <formula>A113=1</formula>
    </cfRule>
  </conditionalFormatting>
  <conditionalFormatting sqref="A113:A114">
    <cfRule type="expression" dxfId="28" priority="31">
      <formula>_xlfn.ISFORMULA(A113)</formula>
    </cfRule>
  </conditionalFormatting>
  <conditionalFormatting sqref="A113:A115">
    <cfRule type="expression" dxfId="27" priority="30">
      <formula>_xlfn.ISFORMULA(A113)</formula>
    </cfRule>
  </conditionalFormatting>
  <conditionalFormatting sqref="B123">
    <cfRule type="expression" dxfId="26" priority="29">
      <formula>A123=1</formula>
    </cfRule>
  </conditionalFormatting>
  <conditionalFormatting sqref="A123">
    <cfRule type="expression" dxfId="25" priority="28">
      <formula>_xlfn.ISFORMULA(A123)</formula>
    </cfRule>
  </conditionalFormatting>
  <conditionalFormatting sqref="B119:B122">
    <cfRule type="expression" dxfId="24" priority="27">
      <formula>A119=1</formula>
    </cfRule>
  </conditionalFormatting>
  <conditionalFormatting sqref="A119:A121">
    <cfRule type="expression" dxfId="23" priority="26">
      <formula>_xlfn.ISFORMULA(A119)</formula>
    </cfRule>
  </conditionalFormatting>
  <conditionalFormatting sqref="A119:A122">
    <cfRule type="expression" dxfId="22" priority="25">
      <formula>_xlfn.ISFORMULA(A119)</formula>
    </cfRule>
  </conditionalFormatting>
  <conditionalFormatting sqref="B127">
    <cfRule type="expression" dxfId="21" priority="24">
      <formula>A127=1</formula>
    </cfRule>
  </conditionalFormatting>
  <conditionalFormatting sqref="A127">
    <cfRule type="expression" dxfId="20" priority="23">
      <formula>_xlfn.ISFORMULA(A127)</formula>
    </cfRule>
  </conditionalFormatting>
  <conditionalFormatting sqref="B131">
    <cfRule type="expression" dxfId="19" priority="19">
      <formula>A131=1</formula>
    </cfRule>
  </conditionalFormatting>
  <conditionalFormatting sqref="A131">
    <cfRule type="expression" dxfId="18" priority="18">
      <formula>_xlfn.ISFORMULA(A131)</formula>
    </cfRule>
  </conditionalFormatting>
  <conditionalFormatting sqref="B132:B134">
    <cfRule type="expression" dxfId="17" priority="14">
      <formula>A132=1</formula>
    </cfRule>
  </conditionalFormatting>
  <conditionalFormatting sqref="B131">
    <cfRule type="expression" dxfId="16" priority="13">
      <formula>A131=1</formula>
    </cfRule>
  </conditionalFormatting>
  <conditionalFormatting sqref="A131">
    <cfRule type="expression" dxfId="15" priority="12">
      <formula>_xlfn.ISFORMULA(A131)</formula>
    </cfRule>
  </conditionalFormatting>
  <conditionalFormatting sqref="B135">
    <cfRule type="expression" dxfId="14" priority="11">
      <formula>A135=1</formula>
    </cfRule>
  </conditionalFormatting>
  <conditionalFormatting sqref="A135">
    <cfRule type="expression" dxfId="13" priority="10">
      <formula>_xlfn.ISFORMULA(A135)</formula>
    </cfRule>
  </conditionalFormatting>
  <conditionalFormatting sqref="B136:B138">
    <cfRule type="expression" dxfId="12" priority="9">
      <formula>A136=1</formula>
    </cfRule>
  </conditionalFormatting>
  <conditionalFormatting sqref="A136:A138">
    <cfRule type="expression" dxfId="11" priority="8">
      <formula>_xlfn.ISFORMULA(A136)</formula>
    </cfRule>
  </conditionalFormatting>
  <conditionalFormatting sqref="B139">
    <cfRule type="expression" dxfId="10" priority="7">
      <formula>A139=1</formula>
    </cfRule>
  </conditionalFormatting>
  <conditionalFormatting sqref="A139">
    <cfRule type="expression" dxfId="9" priority="6">
      <formula>_xlfn.ISFORMULA(A139)</formula>
    </cfRule>
  </conditionalFormatting>
  <conditionalFormatting sqref="B139">
    <cfRule type="expression" dxfId="8" priority="5">
      <formula>A139=1</formula>
    </cfRule>
  </conditionalFormatting>
  <conditionalFormatting sqref="A139">
    <cfRule type="expression" dxfId="7" priority="4">
      <formula>_xlfn.ISFORMULA(A139)</formula>
    </cfRule>
  </conditionalFormatting>
  <conditionalFormatting sqref="B112">
    <cfRule type="expression" dxfId="6" priority="3">
      <formula>A112=1</formula>
    </cfRule>
  </conditionalFormatting>
  <conditionalFormatting sqref="A112">
    <cfRule type="expression" dxfId="5" priority="2">
      <formula>_xlfn.ISFORMULA(A112)</formula>
    </cfRule>
  </conditionalFormatting>
  <conditionalFormatting sqref="A112">
    <cfRule type="expression" dxfId="4" priority="1">
      <formula>_xlfn.ISFORMULA(A112)</formula>
    </cfRule>
  </conditionalFormatting>
  <pageMargins left="0.7" right="0.7" top="0.75" bottom="0.75" header="0.3" footer="0.3"/>
  <pageSetup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FABFA-35E8-46FE-8915-FD58E013B341}">
  <sheetPr codeName="Sheet6"/>
  <dimension ref="A1:J81"/>
  <sheetViews>
    <sheetView workbookViewId="0">
      <selection activeCell="I32" sqref="I32"/>
    </sheetView>
  </sheetViews>
  <sheetFormatPr defaultRowHeight="14.25" x14ac:dyDescent="0.2"/>
  <cols>
    <col min="1" max="4" width="3.5" style="3" customWidth="1"/>
    <col min="5" max="5" width="5.125" style="3" customWidth="1"/>
    <col min="7" max="7" width="3.25" customWidth="1"/>
    <col min="8" max="8" width="6.125" customWidth="1"/>
  </cols>
  <sheetData>
    <row r="1" spans="1:10" ht="48.95" customHeight="1" x14ac:dyDescent="0.2">
      <c r="A1" s="27" t="s">
        <v>335</v>
      </c>
      <c r="B1" s="27" t="s">
        <v>336</v>
      </c>
      <c r="C1" s="27" t="s">
        <v>337</v>
      </c>
      <c r="D1" s="27" t="s">
        <v>338</v>
      </c>
      <c r="E1" s="27" t="s">
        <v>339</v>
      </c>
      <c r="G1" s="27" t="s">
        <v>352</v>
      </c>
      <c r="H1" s="27" t="s">
        <v>349</v>
      </c>
      <c r="J1">
        <v>1</v>
      </c>
    </row>
    <row r="2" spans="1:10" x14ac:dyDescent="0.2">
      <c r="A2" s="3" t="str">
        <f ca="1">IF(RAND()&gt;0.5,"H","T")</f>
        <v>T</v>
      </c>
      <c r="B2" s="3" t="str">
        <f t="shared" ref="B2:D17" ca="1" si="0">IF(RAND()&gt;0.5,"H","T")</f>
        <v>T</v>
      </c>
      <c r="C2" s="3" t="str">
        <f t="shared" ca="1" si="0"/>
        <v>T</v>
      </c>
      <c r="D2" s="3" t="str">
        <f t="shared" ca="1" si="0"/>
        <v>T</v>
      </c>
      <c r="E2">
        <f ca="1">COUNTIF(coins!A2:D2,"H")</f>
        <v>0</v>
      </c>
      <c r="G2" t="s">
        <v>398</v>
      </c>
      <c r="H2">
        <f ca="1">COUNTIF(A2:D81,"H")</f>
        <v>165</v>
      </c>
    </row>
    <row r="3" spans="1:10" x14ac:dyDescent="0.2">
      <c r="A3" s="3" t="str">
        <f t="shared" ref="A3:D34" ca="1" si="1">IF(RAND()&gt;0.5,"H","T")</f>
        <v>T</v>
      </c>
      <c r="B3" s="3" t="str">
        <f t="shared" ca="1" si="0"/>
        <v>T</v>
      </c>
      <c r="C3" s="3" t="str">
        <f t="shared" ca="1" si="0"/>
        <v>H</v>
      </c>
      <c r="D3" s="3" t="str">
        <f t="shared" ca="1" si="0"/>
        <v>H</v>
      </c>
      <c r="E3">
        <f ca="1">COUNTIF(coins!A3:D3,"H")</f>
        <v>2</v>
      </c>
      <c r="G3" t="s">
        <v>399</v>
      </c>
      <c r="H3">
        <f ca="1">COUNTIF(A2:D81,"T")</f>
        <v>155</v>
      </c>
    </row>
    <row r="4" spans="1:10" x14ac:dyDescent="0.2">
      <c r="A4" s="3" t="str">
        <f t="shared" ca="1" si="1"/>
        <v>H</v>
      </c>
      <c r="B4" s="3" t="str">
        <f t="shared" ca="1" si="0"/>
        <v>H</v>
      </c>
      <c r="C4" s="3" t="str">
        <f t="shared" ca="1" si="0"/>
        <v>H</v>
      </c>
      <c r="D4" s="3" t="str">
        <f t="shared" ca="1" si="0"/>
        <v>T</v>
      </c>
      <c r="E4">
        <f ca="1">COUNTIF(coins!A4:D4,"H")</f>
        <v>3</v>
      </c>
    </row>
    <row r="5" spans="1:10" x14ac:dyDescent="0.2">
      <c r="A5" s="3" t="str">
        <f t="shared" ca="1" si="1"/>
        <v>T</v>
      </c>
      <c r="B5" s="3" t="str">
        <f t="shared" ca="1" si="0"/>
        <v>H</v>
      </c>
      <c r="C5" s="3" t="str">
        <f t="shared" ca="1" si="0"/>
        <v>H</v>
      </c>
      <c r="D5" s="3" t="str">
        <f t="shared" ca="1" si="0"/>
        <v>T</v>
      </c>
      <c r="E5">
        <f ca="1">COUNTIF(coins!A5:D5,"H")</f>
        <v>2</v>
      </c>
    </row>
    <row r="6" spans="1:10" x14ac:dyDescent="0.2">
      <c r="A6" s="3" t="str">
        <f t="shared" ca="1" si="1"/>
        <v>T</v>
      </c>
      <c r="B6" s="3" t="str">
        <f t="shared" ca="1" si="0"/>
        <v>H</v>
      </c>
      <c r="C6" s="3" t="str">
        <f t="shared" ca="1" si="0"/>
        <v>T</v>
      </c>
      <c r="D6" s="3" t="str">
        <f t="shared" ca="1" si="0"/>
        <v>T</v>
      </c>
      <c r="E6">
        <f ca="1">COUNTIF(coins!A6:D6,"H")</f>
        <v>1</v>
      </c>
      <c r="G6" s="30" t="s">
        <v>349</v>
      </c>
      <c r="H6" s="30" t="s">
        <v>353</v>
      </c>
    </row>
    <row r="7" spans="1:10" x14ac:dyDescent="0.2">
      <c r="A7" s="3" t="str">
        <f t="shared" ca="1" si="1"/>
        <v>H</v>
      </c>
      <c r="B7" s="3" t="str">
        <f t="shared" ca="1" si="0"/>
        <v>H</v>
      </c>
      <c r="C7" s="3" t="str">
        <f t="shared" ca="1" si="0"/>
        <v>T</v>
      </c>
      <c r="D7" s="3" t="str">
        <f t="shared" ca="1" si="0"/>
        <v>H</v>
      </c>
      <c r="E7">
        <f ca="1">COUNTIF(coins!A7:D7,"H")</f>
        <v>3</v>
      </c>
      <c r="G7">
        <v>0</v>
      </c>
      <c r="H7">
        <f ca="1">COUNTIF($E$2:$E$81,G7)</f>
        <v>2</v>
      </c>
      <c r="I7" s="31">
        <f ca="1">H7/COUNT($E$2:$E$81)</f>
        <v>2.5000000000000001E-2</v>
      </c>
    </row>
    <row r="8" spans="1:10" x14ac:dyDescent="0.2">
      <c r="A8" s="3" t="str">
        <f t="shared" ca="1" si="1"/>
        <v>H</v>
      </c>
      <c r="B8" s="3" t="str">
        <f t="shared" ca="1" si="0"/>
        <v>T</v>
      </c>
      <c r="C8" s="3" t="str">
        <f t="shared" ca="1" si="0"/>
        <v>T</v>
      </c>
      <c r="D8" s="3" t="str">
        <f t="shared" ca="1" si="0"/>
        <v>T</v>
      </c>
      <c r="E8">
        <f ca="1">COUNTIF(coins!A8:D8,"H")</f>
        <v>1</v>
      </c>
      <c r="G8">
        <v>1</v>
      </c>
      <c r="H8">
        <f ca="1">COUNTIF($E$2:$E$81,G9)</f>
        <v>37</v>
      </c>
      <c r="I8" s="31">
        <f ca="1">H8/COUNT($E$2:$E$81)</f>
        <v>0.46250000000000002</v>
      </c>
    </row>
    <row r="9" spans="1:10" x14ac:dyDescent="0.2">
      <c r="A9" s="3" t="str">
        <f t="shared" ca="1" si="1"/>
        <v>T</v>
      </c>
      <c r="B9" s="3" t="str">
        <f t="shared" ca="1" si="0"/>
        <v>H</v>
      </c>
      <c r="C9" s="3" t="str">
        <f t="shared" ca="1" si="0"/>
        <v>T</v>
      </c>
      <c r="D9" s="3" t="str">
        <f t="shared" ca="1" si="0"/>
        <v>H</v>
      </c>
      <c r="E9">
        <f ca="1">COUNTIF(coins!A9:D9,"H")</f>
        <v>2</v>
      </c>
      <c r="G9">
        <v>2</v>
      </c>
      <c r="H9">
        <f ca="1">COUNTIF($E$2:$E$81,G10)</f>
        <v>19</v>
      </c>
      <c r="I9" s="31">
        <f ca="1">H9/COUNT($E$2:$E$81)</f>
        <v>0.23749999999999999</v>
      </c>
      <c r="J9" s="31"/>
    </row>
    <row r="10" spans="1:10" x14ac:dyDescent="0.2">
      <c r="A10" s="3" t="str">
        <f t="shared" ca="1" si="1"/>
        <v>T</v>
      </c>
      <c r="B10" s="3" t="str">
        <f t="shared" ca="1" si="0"/>
        <v>H</v>
      </c>
      <c r="C10" s="3" t="str">
        <f t="shared" ca="1" si="0"/>
        <v>T</v>
      </c>
      <c r="D10" s="3" t="str">
        <f t="shared" ca="1" si="0"/>
        <v>T</v>
      </c>
      <c r="E10">
        <f ca="1">COUNTIF(coins!A10:D10,"H")</f>
        <v>1</v>
      </c>
      <c r="G10">
        <v>3</v>
      </c>
      <c r="H10">
        <f ca="1">COUNTIF($E$2:$E$81,G11)</f>
        <v>4</v>
      </c>
      <c r="I10" s="31">
        <f ca="1">H10/COUNT($E$2:$E$81)</f>
        <v>0.05</v>
      </c>
    </row>
    <row r="11" spans="1:10" x14ac:dyDescent="0.2">
      <c r="A11" s="3" t="str">
        <f t="shared" ca="1" si="1"/>
        <v>T</v>
      </c>
      <c r="B11" s="3" t="str">
        <f t="shared" ca="1" si="0"/>
        <v>T</v>
      </c>
      <c r="C11" s="3" t="str">
        <f t="shared" ca="1" si="0"/>
        <v>T</v>
      </c>
      <c r="D11" s="3" t="str">
        <f t="shared" ca="1" si="0"/>
        <v>H</v>
      </c>
      <c r="E11">
        <f ca="1">COUNTIF(coins!A11:D11,"H")</f>
        <v>1</v>
      </c>
      <c r="G11">
        <v>4</v>
      </c>
      <c r="H11">
        <f ca="1">COUNTIF($E$2:$E$81,G11)</f>
        <v>4</v>
      </c>
      <c r="I11" s="31">
        <f ca="1">H11/COUNT($E$2:$E$81)</f>
        <v>0.05</v>
      </c>
    </row>
    <row r="12" spans="1:10" x14ac:dyDescent="0.2">
      <c r="A12" s="3" t="str">
        <f t="shared" ca="1" si="1"/>
        <v>H</v>
      </c>
      <c r="B12" s="3" t="str">
        <f t="shared" ca="1" si="0"/>
        <v>H</v>
      </c>
      <c r="C12" s="3" t="str">
        <f t="shared" ca="1" si="0"/>
        <v>T</v>
      </c>
      <c r="D12" s="3" t="str">
        <f t="shared" ca="1" si="0"/>
        <v>H</v>
      </c>
      <c r="E12">
        <f ca="1">COUNTIF(coins!A12:D12,"H")</f>
        <v>3</v>
      </c>
    </row>
    <row r="13" spans="1:10" x14ac:dyDescent="0.2">
      <c r="A13" s="3" t="str">
        <f t="shared" ca="1" si="1"/>
        <v>H</v>
      </c>
      <c r="B13" s="3" t="str">
        <f t="shared" ca="1" si="0"/>
        <v>H</v>
      </c>
      <c r="C13" s="3" t="str">
        <f t="shared" ca="1" si="0"/>
        <v>T</v>
      </c>
      <c r="D13" s="3" t="str">
        <f t="shared" ca="1" si="0"/>
        <v>H</v>
      </c>
      <c r="E13">
        <f ca="1">COUNTIF(coins!A13:D13,"H")</f>
        <v>3</v>
      </c>
    </row>
    <row r="14" spans="1:10" x14ac:dyDescent="0.2">
      <c r="A14" s="3" t="str">
        <f t="shared" ca="1" si="1"/>
        <v>H</v>
      </c>
      <c r="B14" s="3" t="str">
        <f t="shared" ca="1" si="0"/>
        <v>T</v>
      </c>
      <c r="C14" s="3" t="str">
        <f t="shared" ca="1" si="0"/>
        <v>H</v>
      </c>
      <c r="D14" s="3" t="str">
        <f t="shared" ca="1" si="0"/>
        <v>T</v>
      </c>
      <c r="E14">
        <f ca="1">COUNTIF(coins!A14:D14,"H")</f>
        <v>2</v>
      </c>
    </row>
    <row r="15" spans="1:10" x14ac:dyDescent="0.2">
      <c r="A15" s="3" t="str">
        <f t="shared" ca="1" si="1"/>
        <v>T</v>
      </c>
      <c r="B15" s="3" t="str">
        <f t="shared" ca="1" si="0"/>
        <v>T</v>
      </c>
      <c r="C15" s="3" t="str">
        <f t="shared" ca="1" si="0"/>
        <v>H</v>
      </c>
      <c r="D15" s="3" t="str">
        <f t="shared" ca="1" si="0"/>
        <v>T</v>
      </c>
      <c r="E15">
        <f ca="1">COUNTIF(coins!A15:D15,"H")</f>
        <v>1</v>
      </c>
    </row>
    <row r="16" spans="1:10" x14ac:dyDescent="0.2">
      <c r="A16" s="3" t="str">
        <f t="shared" ca="1" si="1"/>
        <v>H</v>
      </c>
      <c r="B16" s="3" t="str">
        <f t="shared" ca="1" si="0"/>
        <v>T</v>
      </c>
      <c r="C16" s="3" t="str">
        <f t="shared" ca="1" si="0"/>
        <v>H</v>
      </c>
      <c r="D16" s="3" t="str">
        <f t="shared" ca="1" si="0"/>
        <v>H</v>
      </c>
      <c r="E16">
        <f ca="1">COUNTIF(coins!A16:D16,"H")</f>
        <v>3</v>
      </c>
    </row>
    <row r="17" spans="1:5" x14ac:dyDescent="0.2">
      <c r="A17" s="3" t="str">
        <f t="shared" ca="1" si="1"/>
        <v>T</v>
      </c>
      <c r="B17" s="3" t="str">
        <f t="shared" ca="1" si="0"/>
        <v>H</v>
      </c>
      <c r="C17" s="3" t="str">
        <f t="shared" ca="1" si="0"/>
        <v>H</v>
      </c>
      <c r="D17" s="3" t="str">
        <f t="shared" ca="1" si="0"/>
        <v>T</v>
      </c>
      <c r="E17">
        <f ca="1">COUNTIF(coins!A17:D17,"H")</f>
        <v>2</v>
      </c>
    </row>
    <row r="18" spans="1:5" x14ac:dyDescent="0.2">
      <c r="A18" s="3" t="str">
        <f t="shared" ca="1" si="1"/>
        <v>H</v>
      </c>
      <c r="B18" s="3" t="str">
        <f t="shared" ca="1" si="1"/>
        <v>T</v>
      </c>
      <c r="C18" s="3" t="str">
        <f t="shared" ca="1" si="1"/>
        <v>H</v>
      </c>
      <c r="D18" s="3" t="str">
        <f t="shared" ca="1" si="1"/>
        <v>H</v>
      </c>
      <c r="E18">
        <f ca="1">COUNTIF(coins!A18:D18,"H")</f>
        <v>3</v>
      </c>
    </row>
    <row r="19" spans="1:5" x14ac:dyDescent="0.2">
      <c r="A19" s="3" t="str">
        <f t="shared" ca="1" si="1"/>
        <v>T</v>
      </c>
      <c r="B19" s="3" t="str">
        <f t="shared" ca="1" si="1"/>
        <v>H</v>
      </c>
      <c r="C19" s="3" t="str">
        <f t="shared" ca="1" si="1"/>
        <v>H</v>
      </c>
      <c r="D19" s="3" t="str">
        <f t="shared" ca="1" si="1"/>
        <v>T</v>
      </c>
      <c r="E19">
        <f ca="1">COUNTIF(coins!A19:D19,"H")</f>
        <v>2</v>
      </c>
    </row>
    <row r="20" spans="1:5" x14ac:dyDescent="0.2">
      <c r="A20" s="3" t="str">
        <f t="shared" ca="1" si="1"/>
        <v>T</v>
      </c>
      <c r="B20" s="3" t="str">
        <f t="shared" ca="1" si="1"/>
        <v>H</v>
      </c>
      <c r="C20" s="3" t="str">
        <f t="shared" ca="1" si="1"/>
        <v>T</v>
      </c>
      <c r="D20" s="3" t="str">
        <f t="shared" ca="1" si="1"/>
        <v>T</v>
      </c>
      <c r="E20">
        <f ca="1">COUNTIF(coins!A20:D20,"H")</f>
        <v>1</v>
      </c>
    </row>
    <row r="21" spans="1:5" x14ac:dyDescent="0.2">
      <c r="A21" s="3" t="str">
        <f t="shared" ca="1" si="1"/>
        <v>T</v>
      </c>
      <c r="B21" s="3" t="str">
        <f t="shared" ca="1" si="1"/>
        <v>H</v>
      </c>
      <c r="C21" s="3" t="str">
        <f t="shared" ca="1" si="1"/>
        <v>H</v>
      </c>
      <c r="D21" s="3" t="str">
        <f t="shared" ca="1" si="1"/>
        <v>T</v>
      </c>
      <c r="E21">
        <f ca="1">COUNTIF(coins!A21:D21,"H")</f>
        <v>2</v>
      </c>
    </row>
    <row r="22" spans="1:5" x14ac:dyDescent="0.2">
      <c r="A22" s="3" t="str">
        <f t="shared" ca="1" si="1"/>
        <v>T</v>
      </c>
      <c r="B22" s="3" t="str">
        <f t="shared" ca="1" si="1"/>
        <v>T</v>
      </c>
      <c r="C22" s="3" t="str">
        <f t="shared" ca="1" si="1"/>
        <v>T</v>
      </c>
      <c r="D22" s="3" t="str">
        <f t="shared" ca="1" si="1"/>
        <v>H</v>
      </c>
      <c r="E22">
        <f ca="1">COUNTIF(coins!A22:D22,"H")</f>
        <v>1</v>
      </c>
    </row>
    <row r="23" spans="1:5" x14ac:dyDescent="0.2">
      <c r="A23" s="3" t="str">
        <f t="shared" ca="1" si="1"/>
        <v>H</v>
      </c>
      <c r="B23" s="3" t="str">
        <f t="shared" ca="1" si="1"/>
        <v>H</v>
      </c>
      <c r="C23" s="3" t="str">
        <f t="shared" ca="1" si="1"/>
        <v>T</v>
      </c>
      <c r="D23" s="3" t="str">
        <f t="shared" ca="1" si="1"/>
        <v>T</v>
      </c>
      <c r="E23">
        <f ca="1">COUNTIF(coins!A23:D23,"H")</f>
        <v>2</v>
      </c>
    </row>
    <row r="24" spans="1:5" x14ac:dyDescent="0.2">
      <c r="A24" s="3" t="str">
        <f t="shared" ca="1" si="1"/>
        <v>H</v>
      </c>
      <c r="B24" s="3" t="str">
        <f t="shared" ca="1" si="1"/>
        <v>H</v>
      </c>
      <c r="C24" s="3" t="str">
        <f t="shared" ca="1" si="1"/>
        <v>T</v>
      </c>
      <c r="D24" s="3" t="str">
        <f t="shared" ca="1" si="1"/>
        <v>H</v>
      </c>
      <c r="E24">
        <f ca="1">COUNTIF(coins!A24:D24,"H")</f>
        <v>3</v>
      </c>
    </row>
    <row r="25" spans="1:5" x14ac:dyDescent="0.2">
      <c r="A25" s="3" t="str">
        <f t="shared" ca="1" si="1"/>
        <v>H</v>
      </c>
      <c r="B25" s="3" t="str">
        <f t="shared" ca="1" si="1"/>
        <v>H</v>
      </c>
      <c r="C25" s="3" t="str">
        <f t="shared" ca="1" si="1"/>
        <v>T</v>
      </c>
      <c r="D25" s="3" t="str">
        <f t="shared" ca="1" si="1"/>
        <v>H</v>
      </c>
      <c r="E25">
        <f ca="1">COUNTIF(coins!A25:D25,"H")</f>
        <v>3</v>
      </c>
    </row>
    <row r="26" spans="1:5" x14ac:dyDescent="0.2">
      <c r="A26" s="3" t="str">
        <f t="shared" ca="1" si="1"/>
        <v>H</v>
      </c>
      <c r="B26" s="3" t="str">
        <f t="shared" ca="1" si="1"/>
        <v>H</v>
      </c>
      <c r="C26" s="3" t="str">
        <f t="shared" ca="1" si="1"/>
        <v>T</v>
      </c>
      <c r="D26" s="3" t="str">
        <f t="shared" ca="1" si="1"/>
        <v>T</v>
      </c>
      <c r="E26">
        <f ca="1">COUNTIF(coins!A26:D26,"H")</f>
        <v>2</v>
      </c>
    </row>
    <row r="27" spans="1:5" x14ac:dyDescent="0.2">
      <c r="A27" s="3" t="str">
        <f t="shared" ca="1" si="1"/>
        <v>H</v>
      </c>
      <c r="B27" s="3" t="str">
        <f t="shared" ca="1" si="1"/>
        <v>H</v>
      </c>
      <c r="C27" s="3" t="str">
        <f t="shared" ca="1" si="1"/>
        <v>T</v>
      </c>
      <c r="D27" s="3" t="str">
        <f t="shared" ca="1" si="1"/>
        <v>H</v>
      </c>
      <c r="E27">
        <f ca="1">COUNTIF(coins!A27:D27,"H")</f>
        <v>3</v>
      </c>
    </row>
    <row r="28" spans="1:5" x14ac:dyDescent="0.2">
      <c r="A28" s="3" t="str">
        <f t="shared" ca="1" si="1"/>
        <v>H</v>
      </c>
      <c r="B28" s="3" t="str">
        <f t="shared" ca="1" si="1"/>
        <v>T</v>
      </c>
      <c r="C28" s="3" t="str">
        <f t="shared" ca="1" si="1"/>
        <v>H</v>
      </c>
      <c r="D28" s="3" t="str">
        <f t="shared" ca="1" si="1"/>
        <v>T</v>
      </c>
      <c r="E28">
        <f ca="1">COUNTIF(coins!A28:D28,"H")</f>
        <v>2</v>
      </c>
    </row>
    <row r="29" spans="1:5" x14ac:dyDescent="0.2">
      <c r="A29" s="3" t="str">
        <f t="shared" ca="1" si="1"/>
        <v>H</v>
      </c>
      <c r="B29" s="3" t="str">
        <f t="shared" ca="1" si="1"/>
        <v>H</v>
      </c>
      <c r="C29" s="3" t="str">
        <f t="shared" ca="1" si="1"/>
        <v>H</v>
      </c>
      <c r="D29" s="3" t="str">
        <f t="shared" ca="1" si="1"/>
        <v>H</v>
      </c>
      <c r="E29">
        <f ca="1">COUNTIF(coins!A29:D29,"H")</f>
        <v>4</v>
      </c>
    </row>
    <row r="30" spans="1:5" x14ac:dyDescent="0.2">
      <c r="A30" s="3" t="str">
        <f t="shared" ca="1" si="1"/>
        <v>T</v>
      </c>
      <c r="B30" s="3" t="str">
        <f t="shared" ca="1" si="1"/>
        <v>H</v>
      </c>
      <c r="C30" s="3" t="str">
        <f t="shared" ca="1" si="1"/>
        <v>T</v>
      </c>
      <c r="D30" s="3" t="str">
        <f t="shared" ca="1" si="1"/>
        <v>T</v>
      </c>
      <c r="E30">
        <f ca="1">COUNTIF(coins!A30:D30,"H")</f>
        <v>1</v>
      </c>
    </row>
    <row r="31" spans="1:5" x14ac:dyDescent="0.2">
      <c r="A31" s="3" t="str">
        <f t="shared" ca="1" si="1"/>
        <v>T</v>
      </c>
      <c r="B31" s="3" t="str">
        <f t="shared" ca="1" si="1"/>
        <v>H</v>
      </c>
      <c r="C31" s="3" t="str">
        <f t="shared" ca="1" si="1"/>
        <v>H</v>
      </c>
      <c r="D31" s="3" t="str">
        <f t="shared" ca="1" si="1"/>
        <v>T</v>
      </c>
      <c r="E31">
        <f ca="1">COUNTIF(coins!A31:D31,"H")</f>
        <v>2</v>
      </c>
    </row>
    <row r="32" spans="1:5" x14ac:dyDescent="0.2">
      <c r="A32" s="3" t="str">
        <f t="shared" ca="1" si="1"/>
        <v>T</v>
      </c>
      <c r="B32" s="3" t="str">
        <f t="shared" ca="1" si="1"/>
        <v>H</v>
      </c>
      <c r="C32" s="3" t="str">
        <f t="shared" ca="1" si="1"/>
        <v>H</v>
      </c>
      <c r="D32" s="3" t="str">
        <f t="shared" ca="1" si="1"/>
        <v>T</v>
      </c>
      <c r="E32">
        <f ca="1">COUNTIF(coins!A32:D32,"H")</f>
        <v>2</v>
      </c>
    </row>
    <row r="33" spans="1:5" x14ac:dyDescent="0.2">
      <c r="A33" s="3" t="str">
        <f t="shared" ca="1" si="1"/>
        <v>T</v>
      </c>
      <c r="B33" s="3" t="str">
        <f t="shared" ca="1" si="1"/>
        <v>H</v>
      </c>
      <c r="C33" s="3" t="str">
        <f t="shared" ca="1" si="1"/>
        <v>H</v>
      </c>
      <c r="D33" s="3" t="str">
        <f t="shared" ca="1" si="1"/>
        <v>T</v>
      </c>
      <c r="E33">
        <f ca="1">COUNTIF(coins!A33:D33,"H")</f>
        <v>2</v>
      </c>
    </row>
    <row r="34" spans="1:5" x14ac:dyDescent="0.2">
      <c r="A34" s="3" t="str">
        <f t="shared" ca="1" si="1"/>
        <v>T</v>
      </c>
      <c r="B34" s="3" t="str">
        <f t="shared" ca="1" si="1"/>
        <v>H</v>
      </c>
      <c r="C34" s="3" t="str">
        <f t="shared" ca="1" si="1"/>
        <v>T</v>
      </c>
      <c r="D34" s="3" t="str">
        <f t="shared" ca="1" si="1"/>
        <v>T</v>
      </c>
      <c r="E34">
        <f ca="1">COUNTIF(coins!A34:D34,"H")</f>
        <v>1</v>
      </c>
    </row>
    <row r="35" spans="1:5" x14ac:dyDescent="0.2">
      <c r="A35" s="3" t="str">
        <f t="shared" ref="A35:D81" ca="1" si="2">IF(RAND()&gt;0.5,"H","T")</f>
        <v>T</v>
      </c>
      <c r="B35" s="3" t="str">
        <f t="shared" ca="1" si="2"/>
        <v>T</v>
      </c>
      <c r="C35" s="3" t="str">
        <f t="shared" ca="1" si="2"/>
        <v>H</v>
      </c>
      <c r="D35" s="3" t="str">
        <f t="shared" ca="1" si="2"/>
        <v>H</v>
      </c>
      <c r="E35">
        <f ca="1">COUNTIF(coins!A35:D35,"H")</f>
        <v>2</v>
      </c>
    </row>
    <row r="36" spans="1:5" x14ac:dyDescent="0.2">
      <c r="A36" s="3" t="str">
        <f t="shared" ca="1" si="2"/>
        <v>T</v>
      </c>
      <c r="B36" s="3" t="str">
        <f t="shared" ca="1" si="2"/>
        <v>T</v>
      </c>
      <c r="C36" s="3" t="str">
        <f t="shared" ca="1" si="2"/>
        <v>H</v>
      </c>
      <c r="D36" s="3" t="str">
        <f t="shared" ca="1" si="2"/>
        <v>H</v>
      </c>
      <c r="E36">
        <f ca="1">COUNTIF(coins!A36:D36,"H")</f>
        <v>2</v>
      </c>
    </row>
    <row r="37" spans="1:5" x14ac:dyDescent="0.2">
      <c r="A37" s="3" t="str">
        <f t="shared" ca="1" si="2"/>
        <v>T</v>
      </c>
      <c r="B37" s="3" t="str">
        <f t="shared" ca="1" si="2"/>
        <v>T</v>
      </c>
      <c r="C37" s="3" t="str">
        <f t="shared" ca="1" si="2"/>
        <v>T</v>
      </c>
      <c r="D37" s="3" t="str">
        <f t="shared" ca="1" si="2"/>
        <v>H</v>
      </c>
      <c r="E37">
        <f ca="1">COUNTIF(coins!A37:D37,"H")</f>
        <v>1</v>
      </c>
    </row>
    <row r="38" spans="1:5" x14ac:dyDescent="0.2">
      <c r="A38" s="3" t="str">
        <f t="shared" ca="1" si="2"/>
        <v>T</v>
      </c>
      <c r="B38" s="3" t="str">
        <f t="shared" ca="1" si="2"/>
        <v>H</v>
      </c>
      <c r="C38" s="3" t="str">
        <f t="shared" ca="1" si="2"/>
        <v>T</v>
      </c>
      <c r="D38" s="3" t="str">
        <f t="shared" ca="1" si="2"/>
        <v>H</v>
      </c>
      <c r="E38">
        <f ca="1">COUNTIF(coins!A38:D38,"H")</f>
        <v>2</v>
      </c>
    </row>
    <row r="39" spans="1:5" x14ac:dyDescent="0.2">
      <c r="A39" s="3" t="str">
        <f t="shared" ca="1" si="2"/>
        <v>T</v>
      </c>
      <c r="B39" s="3" t="str">
        <f t="shared" ca="1" si="2"/>
        <v>H</v>
      </c>
      <c r="C39" s="3" t="str">
        <f t="shared" ca="1" si="2"/>
        <v>H</v>
      </c>
      <c r="D39" s="3" t="str">
        <f t="shared" ca="1" si="2"/>
        <v>T</v>
      </c>
      <c r="E39">
        <f ca="1">COUNTIF(coins!A39:D39,"H")</f>
        <v>2</v>
      </c>
    </row>
    <row r="40" spans="1:5" x14ac:dyDescent="0.2">
      <c r="A40" s="3" t="str">
        <f t="shared" ca="1" si="2"/>
        <v>H</v>
      </c>
      <c r="B40" s="3" t="str">
        <f t="shared" ca="1" si="2"/>
        <v>H</v>
      </c>
      <c r="C40" s="3" t="str">
        <f t="shared" ca="1" si="2"/>
        <v>T</v>
      </c>
      <c r="D40" s="3" t="str">
        <f t="shared" ca="1" si="2"/>
        <v>T</v>
      </c>
      <c r="E40">
        <f ca="1">COUNTIF(coins!A40:D40,"H")</f>
        <v>2</v>
      </c>
    </row>
    <row r="41" spans="1:5" x14ac:dyDescent="0.2">
      <c r="A41" s="3" t="str">
        <f t="shared" ca="1" si="2"/>
        <v>H</v>
      </c>
      <c r="B41" s="3" t="str">
        <f t="shared" ca="1" si="2"/>
        <v>H</v>
      </c>
      <c r="C41" s="3" t="str">
        <f t="shared" ca="1" si="2"/>
        <v>T</v>
      </c>
      <c r="D41" s="3" t="str">
        <f t="shared" ca="1" si="2"/>
        <v>H</v>
      </c>
      <c r="E41">
        <f ca="1">COUNTIF(coins!A41:D41,"H")</f>
        <v>3</v>
      </c>
    </row>
    <row r="42" spans="1:5" x14ac:dyDescent="0.2">
      <c r="A42" s="3" t="str">
        <f t="shared" ca="1" si="2"/>
        <v>T</v>
      </c>
      <c r="B42" s="3" t="str">
        <f t="shared" ca="1" si="2"/>
        <v>H</v>
      </c>
      <c r="C42" s="3" t="str">
        <f t="shared" ca="1" si="2"/>
        <v>H</v>
      </c>
      <c r="D42" s="3" t="str">
        <f t="shared" ca="1" si="2"/>
        <v>T</v>
      </c>
      <c r="E42">
        <f ca="1">COUNTIF(coins!A42:D42,"H")</f>
        <v>2</v>
      </c>
    </row>
    <row r="43" spans="1:5" x14ac:dyDescent="0.2">
      <c r="A43" s="3" t="str">
        <f t="shared" ca="1" si="2"/>
        <v>H</v>
      </c>
      <c r="B43" s="3" t="str">
        <f t="shared" ca="1" si="2"/>
        <v>H</v>
      </c>
      <c r="C43" s="3" t="str">
        <f t="shared" ca="1" si="2"/>
        <v>H</v>
      </c>
      <c r="D43" s="3" t="str">
        <f t="shared" ca="1" si="2"/>
        <v>T</v>
      </c>
      <c r="E43">
        <f ca="1">COUNTIF(coins!A43:D43,"H")</f>
        <v>3</v>
      </c>
    </row>
    <row r="44" spans="1:5" x14ac:dyDescent="0.2">
      <c r="A44" s="3" t="str">
        <f t="shared" ca="1" si="2"/>
        <v>T</v>
      </c>
      <c r="B44" s="3" t="str">
        <f t="shared" ca="1" si="2"/>
        <v>T</v>
      </c>
      <c r="C44" s="3" t="str">
        <f t="shared" ca="1" si="2"/>
        <v>T</v>
      </c>
      <c r="D44" s="3" t="str">
        <f t="shared" ca="1" si="2"/>
        <v>T</v>
      </c>
      <c r="E44">
        <f ca="1">COUNTIF(coins!A44:D44,"H")</f>
        <v>0</v>
      </c>
    </row>
    <row r="45" spans="1:5" x14ac:dyDescent="0.2">
      <c r="A45" s="3" t="str">
        <f t="shared" ca="1" si="2"/>
        <v>H</v>
      </c>
      <c r="B45" s="3" t="str">
        <f t="shared" ca="1" si="2"/>
        <v>T</v>
      </c>
      <c r="C45" s="3" t="str">
        <f t="shared" ca="1" si="2"/>
        <v>H</v>
      </c>
      <c r="D45" s="3" t="str">
        <f t="shared" ca="1" si="2"/>
        <v>T</v>
      </c>
      <c r="E45">
        <f ca="1">COUNTIF(coins!A45:D45,"H")</f>
        <v>2</v>
      </c>
    </row>
    <row r="46" spans="1:5" x14ac:dyDescent="0.2">
      <c r="A46" s="3" t="str">
        <f t="shared" ca="1" si="2"/>
        <v>H</v>
      </c>
      <c r="B46" s="3" t="str">
        <f t="shared" ca="1" si="2"/>
        <v>T</v>
      </c>
      <c r="C46" s="3" t="str">
        <f t="shared" ca="1" si="2"/>
        <v>T</v>
      </c>
      <c r="D46" s="3" t="str">
        <f t="shared" ca="1" si="2"/>
        <v>T</v>
      </c>
      <c r="E46">
        <f ca="1">COUNTIF(coins!A46:D46,"H")</f>
        <v>1</v>
      </c>
    </row>
    <row r="47" spans="1:5" x14ac:dyDescent="0.2">
      <c r="A47" s="3" t="str">
        <f t="shared" ca="1" si="2"/>
        <v>T</v>
      </c>
      <c r="B47" s="3" t="str">
        <f t="shared" ca="1" si="2"/>
        <v>H</v>
      </c>
      <c r="C47" s="3" t="str">
        <f t="shared" ca="1" si="2"/>
        <v>H</v>
      </c>
      <c r="D47" s="3" t="str">
        <f t="shared" ca="1" si="2"/>
        <v>H</v>
      </c>
      <c r="E47">
        <f ca="1">COUNTIF(coins!A47:D47,"H")</f>
        <v>3</v>
      </c>
    </row>
    <row r="48" spans="1:5" x14ac:dyDescent="0.2">
      <c r="A48" s="3" t="str">
        <f t="shared" ca="1" si="2"/>
        <v>T</v>
      </c>
      <c r="B48" s="3" t="str">
        <f t="shared" ca="1" si="2"/>
        <v>H</v>
      </c>
      <c r="C48" s="3" t="str">
        <f t="shared" ca="1" si="2"/>
        <v>T</v>
      </c>
      <c r="D48" s="3" t="str">
        <f t="shared" ca="1" si="2"/>
        <v>T</v>
      </c>
      <c r="E48">
        <f ca="1">COUNTIF(coins!A48:D48,"H")</f>
        <v>1</v>
      </c>
    </row>
    <row r="49" spans="1:5" x14ac:dyDescent="0.2">
      <c r="A49" s="3" t="str">
        <f t="shared" ca="1" si="2"/>
        <v>T</v>
      </c>
      <c r="B49" s="3" t="str">
        <f t="shared" ca="1" si="2"/>
        <v>H</v>
      </c>
      <c r="C49" s="3" t="str">
        <f t="shared" ca="1" si="2"/>
        <v>H</v>
      </c>
      <c r="D49" s="3" t="str">
        <f t="shared" ca="1" si="2"/>
        <v>H</v>
      </c>
      <c r="E49">
        <f ca="1">COUNTIF(coins!A49:D49,"H")</f>
        <v>3</v>
      </c>
    </row>
    <row r="50" spans="1:5" x14ac:dyDescent="0.2">
      <c r="A50" s="3" t="str">
        <f t="shared" ca="1" si="2"/>
        <v>T</v>
      </c>
      <c r="B50" s="3" t="str">
        <f t="shared" ca="1" si="2"/>
        <v>H</v>
      </c>
      <c r="C50" s="3" t="str">
        <f t="shared" ca="1" si="2"/>
        <v>T</v>
      </c>
      <c r="D50" s="3" t="str">
        <f t="shared" ca="1" si="2"/>
        <v>H</v>
      </c>
      <c r="E50">
        <f ca="1">COUNTIF(coins!A50:D50,"H")</f>
        <v>2</v>
      </c>
    </row>
    <row r="51" spans="1:5" x14ac:dyDescent="0.2">
      <c r="A51" s="3" t="str">
        <f t="shared" ca="1" si="2"/>
        <v>T</v>
      </c>
      <c r="B51" s="3" t="str">
        <f t="shared" ca="1" si="2"/>
        <v>T</v>
      </c>
      <c r="C51" s="3" t="str">
        <f t="shared" ca="1" si="2"/>
        <v>T</v>
      </c>
      <c r="D51" s="3" t="str">
        <f t="shared" ca="1" si="2"/>
        <v>H</v>
      </c>
      <c r="E51">
        <f ca="1">COUNTIF(coins!A51:D51,"H")</f>
        <v>1</v>
      </c>
    </row>
    <row r="52" spans="1:5" x14ac:dyDescent="0.2">
      <c r="A52" s="3" t="str">
        <f t="shared" ca="1" si="2"/>
        <v>H</v>
      </c>
      <c r="B52" s="3" t="str">
        <f t="shared" ca="1" si="2"/>
        <v>H</v>
      </c>
      <c r="C52" s="3" t="str">
        <f t="shared" ca="1" si="2"/>
        <v>H</v>
      </c>
      <c r="D52" s="3" t="str">
        <f t="shared" ca="1" si="2"/>
        <v>H</v>
      </c>
      <c r="E52">
        <f ca="1">COUNTIF(coins!A52:D52,"H")</f>
        <v>4</v>
      </c>
    </row>
    <row r="53" spans="1:5" x14ac:dyDescent="0.2">
      <c r="A53" s="3" t="str">
        <f t="shared" ca="1" si="2"/>
        <v>H</v>
      </c>
      <c r="B53" s="3" t="str">
        <f t="shared" ca="1" si="2"/>
        <v>H</v>
      </c>
      <c r="C53" s="3" t="str">
        <f t="shared" ca="1" si="2"/>
        <v>H</v>
      </c>
      <c r="D53" s="3" t="str">
        <f t="shared" ca="1" si="2"/>
        <v>H</v>
      </c>
      <c r="E53">
        <f ca="1">COUNTIF(coins!A53:D53,"H")</f>
        <v>4</v>
      </c>
    </row>
    <row r="54" spans="1:5" x14ac:dyDescent="0.2">
      <c r="A54" s="3" t="str">
        <f t="shared" ca="1" si="2"/>
        <v>T</v>
      </c>
      <c r="B54" s="3" t="str">
        <f t="shared" ca="1" si="2"/>
        <v>T</v>
      </c>
      <c r="C54" s="3" t="str">
        <f t="shared" ca="1" si="2"/>
        <v>H</v>
      </c>
      <c r="D54" s="3" t="str">
        <f t="shared" ca="1" si="2"/>
        <v>H</v>
      </c>
      <c r="E54">
        <f ca="1">COUNTIF(coins!A54:D54,"H")</f>
        <v>2</v>
      </c>
    </row>
    <row r="55" spans="1:5" x14ac:dyDescent="0.2">
      <c r="A55" s="3" t="str">
        <f t="shared" ca="1" si="2"/>
        <v>T</v>
      </c>
      <c r="B55" s="3" t="str">
        <f t="shared" ca="1" si="2"/>
        <v>T</v>
      </c>
      <c r="C55" s="3" t="str">
        <f t="shared" ca="1" si="2"/>
        <v>H</v>
      </c>
      <c r="D55" s="3" t="str">
        <f t="shared" ca="1" si="2"/>
        <v>H</v>
      </c>
      <c r="E55">
        <f ca="1">COUNTIF(coins!A55:D55,"H")</f>
        <v>2</v>
      </c>
    </row>
    <row r="56" spans="1:5" x14ac:dyDescent="0.2">
      <c r="A56" s="3" t="str">
        <f t="shared" ca="1" si="2"/>
        <v>H</v>
      </c>
      <c r="B56" s="3" t="str">
        <f t="shared" ca="1" si="2"/>
        <v>H</v>
      </c>
      <c r="C56" s="3" t="str">
        <f t="shared" ca="1" si="2"/>
        <v>H</v>
      </c>
      <c r="D56" s="3" t="str">
        <f t="shared" ca="1" si="2"/>
        <v>H</v>
      </c>
      <c r="E56">
        <f ca="1">COUNTIF(coins!A56:D56,"H")</f>
        <v>4</v>
      </c>
    </row>
    <row r="57" spans="1:5" x14ac:dyDescent="0.2">
      <c r="A57" s="3" t="str">
        <f t="shared" ca="1" si="2"/>
        <v>T</v>
      </c>
      <c r="B57" s="3" t="str">
        <f t="shared" ca="1" si="2"/>
        <v>T</v>
      </c>
      <c r="C57" s="3" t="str">
        <f t="shared" ca="1" si="2"/>
        <v>T</v>
      </c>
      <c r="D57" s="3" t="str">
        <f t="shared" ca="1" si="2"/>
        <v>H</v>
      </c>
      <c r="E57">
        <f ca="1">COUNTIF(coins!A57:D57,"H")</f>
        <v>1</v>
      </c>
    </row>
    <row r="58" spans="1:5" x14ac:dyDescent="0.2">
      <c r="A58" s="3" t="str">
        <f t="shared" ca="1" si="2"/>
        <v>H</v>
      </c>
      <c r="B58" s="3" t="str">
        <f t="shared" ca="1" si="2"/>
        <v>H</v>
      </c>
      <c r="C58" s="3" t="str">
        <f t="shared" ca="1" si="2"/>
        <v>T</v>
      </c>
      <c r="D58" s="3" t="str">
        <f t="shared" ca="1" si="2"/>
        <v>T</v>
      </c>
      <c r="E58">
        <f ca="1">COUNTIF(coins!A58:D58,"H")</f>
        <v>2</v>
      </c>
    </row>
    <row r="59" spans="1:5" x14ac:dyDescent="0.2">
      <c r="A59" s="3" t="str">
        <f t="shared" ca="1" si="2"/>
        <v>T</v>
      </c>
      <c r="B59" s="3" t="str">
        <f t="shared" ca="1" si="2"/>
        <v>H</v>
      </c>
      <c r="C59" s="3" t="str">
        <f t="shared" ca="1" si="2"/>
        <v>H</v>
      </c>
      <c r="D59" s="3" t="str">
        <f t="shared" ca="1" si="2"/>
        <v>T</v>
      </c>
      <c r="E59">
        <f ca="1">COUNTIF(coins!A59:D59,"H")</f>
        <v>2</v>
      </c>
    </row>
    <row r="60" spans="1:5" x14ac:dyDescent="0.2">
      <c r="A60" s="3" t="str">
        <f t="shared" ca="1" si="2"/>
        <v>T</v>
      </c>
      <c r="B60" s="3" t="str">
        <f t="shared" ca="1" si="2"/>
        <v>T</v>
      </c>
      <c r="C60" s="3" t="str">
        <f t="shared" ca="1" si="2"/>
        <v>H</v>
      </c>
      <c r="D60" s="3" t="str">
        <f t="shared" ca="1" si="2"/>
        <v>T</v>
      </c>
      <c r="E60">
        <f ca="1">COUNTIF(coins!A60:D60,"H")</f>
        <v>1</v>
      </c>
    </row>
    <row r="61" spans="1:5" x14ac:dyDescent="0.2">
      <c r="A61" s="3" t="str">
        <f t="shared" ca="1" si="2"/>
        <v>T</v>
      </c>
      <c r="B61" s="3" t="str">
        <f t="shared" ca="1" si="2"/>
        <v>H</v>
      </c>
      <c r="C61" s="3" t="str">
        <f t="shared" ca="1" si="2"/>
        <v>H</v>
      </c>
      <c r="D61" s="3" t="str">
        <f t="shared" ca="1" si="2"/>
        <v>T</v>
      </c>
      <c r="E61">
        <f ca="1">COUNTIF(coins!A61:D61,"H")</f>
        <v>2</v>
      </c>
    </row>
    <row r="62" spans="1:5" x14ac:dyDescent="0.2">
      <c r="A62" s="3" t="str">
        <f t="shared" ca="1" si="2"/>
        <v>T</v>
      </c>
      <c r="B62" s="3" t="str">
        <f t="shared" ca="1" si="2"/>
        <v>H</v>
      </c>
      <c r="C62" s="3" t="str">
        <f t="shared" ca="1" si="2"/>
        <v>H</v>
      </c>
      <c r="D62" s="3" t="str">
        <f t="shared" ca="1" si="2"/>
        <v>H</v>
      </c>
      <c r="E62">
        <f ca="1">COUNTIF(coins!A62:D62,"H")</f>
        <v>3</v>
      </c>
    </row>
    <row r="63" spans="1:5" x14ac:dyDescent="0.2">
      <c r="A63" s="3" t="str">
        <f t="shared" ca="1" si="2"/>
        <v>H</v>
      </c>
      <c r="B63" s="3" t="str">
        <f t="shared" ca="1" si="2"/>
        <v>T</v>
      </c>
      <c r="C63" s="3" t="str">
        <f t="shared" ca="1" si="2"/>
        <v>H</v>
      </c>
      <c r="D63" s="3" t="str">
        <f t="shared" ca="1" si="2"/>
        <v>T</v>
      </c>
      <c r="E63">
        <f ca="1">COUNTIF(coins!A63:D63,"H")</f>
        <v>2</v>
      </c>
    </row>
    <row r="64" spans="1:5" x14ac:dyDescent="0.2">
      <c r="A64" s="3" t="str">
        <f t="shared" ca="1" si="2"/>
        <v>T</v>
      </c>
      <c r="B64" s="3" t="str">
        <f t="shared" ca="1" si="2"/>
        <v>T</v>
      </c>
      <c r="C64" s="3" t="str">
        <f t="shared" ca="1" si="2"/>
        <v>H</v>
      </c>
      <c r="D64" s="3" t="str">
        <f t="shared" ca="1" si="2"/>
        <v>H</v>
      </c>
      <c r="E64">
        <f ca="1">COUNTIF(coins!A64:D64,"H")</f>
        <v>2</v>
      </c>
    </row>
    <row r="65" spans="1:5" x14ac:dyDescent="0.2">
      <c r="A65" s="3" t="str">
        <f t="shared" ca="1" si="2"/>
        <v>H</v>
      </c>
      <c r="B65" s="3" t="str">
        <f t="shared" ca="1" si="2"/>
        <v>H</v>
      </c>
      <c r="C65" s="3" t="str">
        <f t="shared" ca="1" si="2"/>
        <v>T</v>
      </c>
      <c r="D65" s="3" t="str">
        <f t="shared" ca="1" si="2"/>
        <v>H</v>
      </c>
      <c r="E65">
        <f ca="1">COUNTIF(coins!A65:D65,"H")</f>
        <v>3</v>
      </c>
    </row>
    <row r="66" spans="1:5" x14ac:dyDescent="0.2">
      <c r="A66" s="3" t="str">
        <f t="shared" ca="1" si="2"/>
        <v>H</v>
      </c>
      <c r="B66" s="3" t="str">
        <f t="shared" ca="1" si="2"/>
        <v>H</v>
      </c>
      <c r="C66" s="3" t="str">
        <f t="shared" ca="1" si="2"/>
        <v>H</v>
      </c>
      <c r="D66" s="3" t="str">
        <f t="shared" ca="1" si="2"/>
        <v>T</v>
      </c>
      <c r="E66">
        <f ca="1">COUNTIF(coins!A66:D66,"H")</f>
        <v>3</v>
      </c>
    </row>
    <row r="67" spans="1:5" x14ac:dyDescent="0.2">
      <c r="A67" s="3" t="str">
        <f t="shared" ca="1" si="2"/>
        <v>T</v>
      </c>
      <c r="B67" s="3" t="str">
        <f t="shared" ca="1" si="2"/>
        <v>T</v>
      </c>
      <c r="C67" s="3" t="str">
        <f t="shared" ca="1" si="2"/>
        <v>H</v>
      </c>
      <c r="D67" s="3" t="str">
        <f t="shared" ca="1" si="2"/>
        <v>H</v>
      </c>
      <c r="E67">
        <f ca="1">COUNTIF(coins!A67:D67,"H")</f>
        <v>2</v>
      </c>
    </row>
    <row r="68" spans="1:5" x14ac:dyDescent="0.2">
      <c r="A68" s="3" t="str">
        <f t="shared" ca="1" si="2"/>
        <v>T</v>
      </c>
      <c r="B68" s="3" t="str">
        <f t="shared" ca="1" si="2"/>
        <v>H</v>
      </c>
      <c r="C68" s="3" t="str">
        <f t="shared" ca="1" si="2"/>
        <v>H</v>
      </c>
      <c r="D68" s="3" t="str">
        <f t="shared" ca="1" si="2"/>
        <v>H</v>
      </c>
      <c r="E68">
        <f ca="1">COUNTIF(coins!A68:D68,"H")</f>
        <v>3</v>
      </c>
    </row>
    <row r="69" spans="1:5" x14ac:dyDescent="0.2">
      <c r="A69" s="3" t="str">
        <f t="shared" ca="1" si="2"/>
        <v>H</v>
      </c>
      <c r="B69" s="3" t="str">
        <f t="shared" ca="1" si="2"/>
        <v>H</v>
      </c>
      <c r="C69" s="3" t="str">
        <f t="shared" ca="1" si="2"/>
        <v>T</v>
      </c>
      <c r="D69" s="3" t="str">
        <f t="shared" ca="1" si="2"/>
        <v>T</v>
      </c>
      <c r="E69">
        <f ca="1">COUNTIF(coins!A69:D69,"H")</f>
        <v>2</v>
      </c>
    </row>
    <row r="70" spans="1:5" x14ac:dyDescent="0.2">
      <c r="A70" s="3" t="str">
        <f t="shared" ca="1" si="2"/>
        <v>H</v>
      </c>
      <c r="B70" s="3" t="str">
        <f t="shared" ca="1" si="2"/>
        <v>T</v>
      </c>
      <c r="C70" s="3" t="str">
        <f t="shared" ca="1" si="2"/>
        <v>T</v>
      </c>
      <c r="D70" s="3" t="str">
        <f t="shared" ca="1" si="2"/>
        <v>H</v>
      </c>
      <c r="E70">
        <f ca="1">COUNTIF(coins!A70:D70,"H")</f>
        <v>2</v>
      </c>
    </row>
    <row r="71" spans="1:5" x14ac:dyDescent="0.2">
      <c r="A71" s="3" t="str">
        <f t="shared" ca="1" si="2"/>
        <v>H</v>
      </c>
      <c r="B71" s="3" t="str">
        <f t="shared" ca="1" si="2"/>
        <v>H</v>
      </c>
      <c r="C71" s="3" t="str">
        <f t="shared" ca="1" si="2"/>
        <v>T</v>
      </c>
      <c r="D71" s="3" t="str">
        <f t="shared" ca="1" si="2"/>
        <v>T</v>
      </c>
      <c r="E71">
        <f ca="1">COUNTIF(coins!A71:D71,"H")</f>
        <v>2</v>
      </c>
    </row>
    <row r="72" spans="1:5" x14ac:dyDescent="0.2">
      <c r="A72" s="3" t="str">
        <f t="shared" ca="1" si="2"/>
        <v>H</v>
      </c>
      <c r="B72" s="3" t="str">
        <f t="shared" ca="1" si="2"/>
        <v>T</v>
      </c>
      <c r="C72" s="3" t="str">
        <f t="shared" ca="1" si="2"/>
        <v>H</v>
      </c>
      <c r="D72" s="3" t="str">
        <f t="shared" ca="1" si="2"/>
        <v>T</v>
      </c>
      <c r="E72">
        <f ca="1">COUNTIF(coins!A72:D72,"H")</f>
        <v>2</v>
      </c>
    </row>
    <row r="73" spans="1:5" x14ac:dyDescent="0.2">
      <c r="A73" s="3" t="str">
        <f t="shared" ca="1" si="2"/>
        <v>T</v>
      </c>
      <c r="B73" s="3" t="str">
        <f t="shared" ca="1" si="2"/>
        <v>H</v>
      </c>
      <c r="C73" s="3" t="str">
        <f t="shared" ca="1" si="2"/>
        <v>T</v>
      </c>
      <c r="D73" s="3" t="str">
        <f t="shared" ca="1" si="2"/>
        <v>T</v>
      </c>
      <c r="E73">
        <f ca="1">COUNTIF(coins!A73:D73,"H")</f>
        <v>1</v>
      </c>
    </row>
    <row r="74" spans="1:5" x14ac:dyDescent="0.2">
      <c r="A74" s="3" t="str">
        <f t="shared" ca="1" si="2"/>
        <v>T</v>
      </c>
      <c r="B74" s="3" t="str">
        <f t="shared" ca="1" si="2"/>
        <v>T</v>
      </c>
      <c r="C74" s="3" t="str">
        <f t="shared" ca="1" si="2"/>
        <v>H</v>
      </c>
      <c r="D74" s="3" t="str">
        <f t="shared" ca="1" si="2"/>
        <v>H</v>
      </c>
      <c r="E74">
        <f ca="1">COUNTIF(coins!A74:D74,"H")</f>
        <v>2</v>
      </c>
    </row>
    <row r="75" spans="1:5" x14ac:dyDescent="0.2">
      <c r="A75" s="3" t="str">
        <f t="shared" ca="1" si="2"/>
        <v>T</v>
      </c>
      <c r="B75" s="3" t="str">
        <f t="shared" ca="1" si="2"/>
        <v>H</v>
      </c>
      <c r="C75" s="3" t="str">
        <f t="shared" ca="1" si="2"/>
        <v>T</v>
      </c>
      <c r="D75" s="3" t="str">
        <f t="shared" ca="1" si="2"/>
        <v>T</v>
      </c>
      <c r="E75">
        <f ca="1">COUNTIF(coins!A75:D75,"H")</f>
        <v>1</v>
      </c>
    </row>
    <row r="76" spans="1:5" x14ac:dyDescent="0.2">
      <c r="A76" s="3" t="str">
        <f t="shared" ca="1" si="2"/>
        <v>H</v>
      </c>
      <c r="B76" s="3" t="str">
        <f t="shared" ca="1" si="2"/>
        <v>T</v>
      </c>
      <c r="C76" s="3" t="str">
        <f t="shared" ca="1" si="2"/>
        <v>H</v>
      </c>
      <c r="D76" s="3" t="str">
        <f t="shared" ca="1" si="2"/>
        <v>T</v>
      </c>
      <c r="E76">
        <f ca="1">COUNTIF(coins!A76:D76,"H")</f>
        <v>2</v>
      </c>
    </row>
    <row r="77" spans="1:5" x14ac:dyDescent="0.2">
      <c r="A77" s="3" t="str">
        <f t="shared" ca="1" si="2"/>
        <v>T</v>
      </c>
      <c r="B77" s="3" t="str">
        <f t="shared" ca="1" si="2"/>
        <v>H</v>
      </c>
      <c r="C77" s="3" t="str">
        <f t="shared" ca="1" si="2"/>
        <v>H</v>
      </c>
      <c r="D77" s="3" t="str">
        <f t="shared" ca="1" si="2"/>
        <v>H</v>
      </c>
      <c r="E77">
        <f ca="1">COUNTIF(coins!A77:D77,"H")</f>
        <v>3</v>
      </c>
    </row>
    <row r="78" spans="1:5" x14ac:dyDescent="0.2">
      <c r="A78" s="3" t="str">
        <f t="shared" ca="1" si="2"/>
        <v>T</v>
      </c>
      <c r="B78" s="3" t="str">
        <f t="shared" ca="1" si="2"/>
        <v>H</v>
      </c>
      <c r="C78" s="3" t="str">
        <f t="shared" ca="1" si="2"/>
        <v>H</v>
      </c>
      <c r="D78" s="3" t="str">
        <f t="shared" ca="1" si="2"/>
        <v>T</v>
      </c>
      <c r="E78">
        <f ca="1">COUNTIF(coins!A78:D78,"H")</f>
        <v>2</v>
      </c>
    </row>
    <row r="79" spans="1:5" x14ac:dyDescent="0.2">
      <c r="A79" s="3" t="str">
        <f t="shared" ca="1" si="2"/>
        <v>T</v>
      </c>
      <c r="B79" s="3" t="str">
        <f t="shared" ca="1" si="2"/>
        <v>T</v>
      </c>
      <c r="C79" s="3" t="str">
        <f t="shared" ca="1" si="2"/>
        <v>H</v>
      </c>
      <c r="D79" s="3" t="str">
        <f t="shared" ca="1" si="2"/>
        <v>T</v>
      </c>
      <c r="E79">
        <f ca="1">COUNTIF(coins!A79:D79,"H")</f>
        <v>1</v>
      </c>
    </row>
    <row r="80" spans="1:5" x14ac:dyDescent="0.2">
      <c r="A80" s="3" t="str">
        <f t="shared" ca="1" si="2"/>
        <v>H</v>
      </c>
      <c r="B80" s="3" t="str">
        <f t="shared" ca="1" si="2"/>
        <v>H</v>
      </c>
      <c r="C80" s="3" t="str">
        <f t="shared" ca="1" si="2"/>
        <v>T</v>
      </c>
      <c r="D80" s="3" t="str">
        <f t="shared" ca="1" si="2"/>
        <v>H</v>
      </c>
      <c r="E80">
        <f ca="1">COUNTIF(coins!A80:D80,"H")</f>
        <v>3</v>
      </c>
    </row>
    <row r="81" spans="1:5" x14ac:dyDescent="0.2">
      <c r="A81" s="3" t="str">
        <f t="shared" ca="1" si="2"/>
        <v>T</v>
      </c>
      <c r="B81" s="3" t="str">
        <f t="shared" ca="1" si="2"/>
        <v>T</v>
      </c>
      <c r="C81" s="3" t="str">
        <f t="shared" ca="1" si="2"/>
        <v>H</v>
      </c>
      <c r="D81" s="3" t="str">
        <f t="shared" ca="1" si="2"/>
        <v>H</v>
      </c>
      <c r="E81">
        <f ca="1">COUNTIF(coins!A81:D81,"H")</f>
        <v>2</v>
      </c>
    </row>
  </sheetData>
  <phoneticPr fontId="3"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9F2447-ACCF-4462-BC23-C8211291D94E}">
  <sheetPr codeName="Sheet7"/>
  <dimension ref="A1:V81"/>
  <sheetViews>
    <sheetView workbookViewId="0">
      <selection activeCell="L10" sqref="L10"/>
    </sheetView>
  </sheetViews>
  <sheetFormatPr defaultRowHeight="14.25" x14ac:dyDescent="0.2"/>
  <cols>
    <col min="1" max="2" width="3.5" customWidth="1"/>
    <col min="3" max="4" width="3.125" customWidth="1"/>
    <col min="5" max="6" width="6.75" style="25" customWidth="1"/>
    <col min="7" max="7" width="4.875" customWidth="1"/>
    <col min="8" max="8" width="8.5" customWidth="1"/>
    <col min="9" max="10" width="3.25" customWidth="1"/>
    <col min="11" max="11" width="3.125" customWidth="1"/>
    <col min="12" max="12" width="14.5" customWidth="1"/>
    <col min="13" max="13" width="10.875" bestFit="1" customWidth="1"/>
    <col min="18" max="18" width="6.25" customWidth="1"/>
    <col min="19" max="22" width="7.375" customWidth="1"/>
  </cols>
  <sheetData>
    <row r="1" spans="1:22" ht="35.25" thickBot="1" x14ac:dyDescent="0.3">
      <c r="A1" s="27" t="s">
        <v>330</v>
      </c>
      <c r="B1" s="27" t="s">
        <v>331</v>
      </c>
      <c r="C1" s="27" t="s">
        <v>332</v>
      </c>
      <c r="D1" s="27" t="s">
        <v>333</v>
      </c>
      <c r="E1" s="27" t="s">
        <v>321</v>
      </c>
      <c r="F1" s="27" t="s">
        <v>322</v>
      </c>
      <c r="G1" s="27" t="s">
        <v>327</v>
      </c>
      <c r="I1" s="28">
        <v>1</v>
      </c>
      <c r="J1" s="43">
        <v>2</v>
      </c>
      <c r="M1" s="29" t="s">
        <v>334</v>
      </c>
      <c r="R1" s="26" t="s">
        <v>328</v>
      </c>
      <c r="S1" s="15" t="s">
        <v>323</v>
      </c>
      <c r="T1" s="17" t="s">
        <v>324</v>
      </c>
      <c r="U1" s="19" t="s">
        <v>325</v>
      </c>
      <c r="V1" s="21" t="s">
        <v>326</v>
      </c>
    </row>
    <row r="2" spans="1:22" ht="21" customHeight="1" thickBot="1" x14ac:dyDescent="0.3">
      <c r="A2" s="23">
        <f ca="1">RANDBETWEEN(1,6)</f>
        <v>6</v>
      </c>
      <c r="B2" s="23">
        <f ca="1">RANDBETWEEN(1,6)</f>
        <v>2</v>
      </c>
      <c r="C2" cm="1">
        <f t="array" aca="1" ref="C2" ca="1">INDEX(translate,A2,I$1)</f>
        <v>6</v>
      </c>
      <c r="D2" cm="1">
        <f t="array" aca="1" ref="D2" ca="1">INDEX(translate,B2,J$1)</f>
        <v>2</v>
      </c>
      <c r="E2" s="24" t="str" cm="1">
        <f t="array" aca="1" ref="E2" ca="1">INDEX(dice,C2)</f>
        <v>⚅</v>
      </c>
      <c r="F2" s="24" t="str" cm="1">
        <f t="array" aca="1" ref="F2" ca="1">INDEX(dice,D2)</f>
        <v>⚁</v>
      </c>
      <c r="G2">
        <f ca="1">IF(E2&gt;F2,1,-1)</f>
        <v>1</v>
      </c>
      <c r="H2">
        <f ca="1">IF(A2&gt;B2,1,-1)</f>
        <v>1</v>
      </c>
      <c r="L2" s="29" t="s">
        <v>329</v>
      </c>
      <c r="M2" s="31">
        <f ca="1">COUNTIF(H2:H81,1)/COUNT(H2:H81)</f>
        <v>0.45</v>
      </c>
      <c r="R2" s="10" t="s">
        <v>306</v>
      </c>
      <c r="S2" s="16">
        <v>1</v>
      </c>
      <c r="T2" s="18">
        <v>3</v>
      </c>
      <c r="U2" s="20">
        <v>2</v>
      </c>
      <c r="V2" s="22">
        <v>1</v>
      </c>
    </row>
    <row r="3" spans="1:22" ht="21" customHeight="1" thickBot="1" x14ac:dyDescent="0.3">
      <c r="A3" s="23">
        <f t="shared" ref="A3:B34" ca="1" si="0">RANDBETWEEN(1,6)</f>
        <v>5</v>
      </c>
      <c r="B3" s="23">
        <f t="shared" ca="1" si="0"/>
        <v>3</v>
      </c>
      <c r="C3" cm="1">
        <f t="array" aca="1" ref="C3" ca="1">INDEX(translate,A3,I$1)</f>
        <v>3</v>
      </c>
      <c r="D3" cm="1">
        <f t="array" aca="1" ref="D3" ca="1">INDEX(translate,B3,J$1)</f>
        <v>2</v>
      </c>
      <c r="E3" s="24" t="str" cm="1">
        <f t="array" aca="1" ref="E3" ca="1">INDEX(dice,C3)</f>
        <v>⚂</v>
      </c>
      <c r="F3" s="24" t="str" cm="1">
        <f t="array" aca="1" ref="F3" ca="1">INDEX(dice,D3)</f>
        <v>⚁</v>
      </c>
      <c r="G3">
        <f t="shared" ref="G3:G66" ca="1" si="1">IF(E3&gt;F3,1,-1)</f>
        <v>1</v>
      </c>
      <c r="H3">
        <f t="shared" ref="H3:H66" ca="1" si="2">IF(A3&gt;B3,1,-1)</f>
        <v>1</v>
      </c>
      <c r="R3" s="10" t="s">
        <v>307</v>
      </c>
      <c r="S3" s="16">
        <v>2</v>
      </c>
      <c r="T3" s="18">
        <v>3</v>
      </c>
      <c r="U3" s="20">
        <v>2</v>
      </c>
      <c r="V3" s="22">
        <v>4</v>
      </c>
    </row>
    <row r="4" spans="1:22" ht="21" customHeight="1" thickBot="1" x14ac:dyDescent="0.3">
      <c r="A4" s="23">
        <f t="shared" ca="1" si="0"/>
        <v>6</v>
      </c>
      <c r="B4" s="23">
        <f t="shared" ca="1" si="0"/>
        <v>4</v>
      </c>
      <c r="C4" cm="1">
        <f t="array" aca="1" ref="C4" ca="1">INDEX(translate,A4,I$1)</f>
        <v>6</v>
      </c>
      <c r="D4" cm="1">
        <f t="array" aca="1" ref="D4" ca="1">INDEX(translate,B4,J$1)</f>
        <v>5</v>
      </c>
      <c r="E4" s="24" t="str" cm="1">
        <f t="array" aca="1" ref="E4" ca="1">INDEX(dice,C4)</f>
        <v>⚅</v>
      </c>
      <c r="F4" s="24" t="str" cm="1">
        <f t="array" aca="1" ref="F4" ca="1">INDEX(dice,D4)</f>
        <v>⚄</v>
      </c>
      <c r="G4">
        <f t="shared" ca="1" si="1"/>
        <v>1</v>
      </c>
      <c r="H4">
        <f t="shared" ca="1" si="2"/>
        <v>1</v>
      </c>
      <c r="L4" s="29" t="s">
        <v>366</v>
      </c>
      <c r="M4" s="31">
        <f ca="1">COUNTIF(G2:G81,1)/COUNT(G2:G81)</f>
        <v>0.63749999999999996</v>
      </c>
      <c r="R4" s="10" t="s">
        <v>308</v>
      </c>
      <c r="S4" s="16">
        <v>3</v>
      </c>
      <c r="T4" s="18">
        <v>3</v>
      </c>
      <c r="U4" s="20">
        <v>2</v>
      </c>
      <c r="V4" s="22">
        <v>4</v>
      </c>
    </row>
    <row r="5" spans="1:22" ht="21" customHeight="1" thickBot="1" x14ac:dyDescent="0.3">
      <c r="A5" s="23">
        <f t="shared" ca="1" si="0"/>
        <v>3</v>
      </c>
      <c r="B5" s="23">
        <f t="shared" ca="1" si="0"/>
        <v>6</v>
      </c>
      <c r="C5" cm="1">
        <f t="array" aca="1" ref="C5" ca="1">INDEX(translate,A5,I$1)</f>
        <v>3</v>
      </c>
      <c r="D5" cm="1">
        <f t="array" aca="1" ref="D5" ca="1">INDEX(translate,B5,J$1)</f>
        <v>5</v>
      </c>
      <c r="E5" s="24" t="str" cm="1">
        <f t="array" aca="1" ref="E5" ca="1">INDEX(dice,C5)</f>
        <v>⚂</v>
      </c>
      <c r="F5" s="24" t="str" cm="1">
        <f t="array" aca="1" ref="F5" ca="1">INDEX(dice,D5)</f>
        <v>⚄</v>
      </c>
      <c r="G5">
        <f t="shared" ca="1" si="1"/>
        <v>-1</v>
      </c>
      <c r="H5">
        <f t="shared" ca="1" si="2"/>
        <v>-1</v>
      </c>
      <c r="L5" s="29" t="s">
        <v>373</v>
      </c>
      <c r="M5" s="31">
        <f ca="1">COUNTIF(G2:G81,-1)/COUNT(G2:G81)</f>
        <v>0.36249999999999999</v>
      </c>
      <c r="R5" s="10" t="s">
        <v>309</v>
      </c>
      <c r="S5" s="16">
        <v>4</v>
      </c>
      <c r="T5" s="18">
        <v>3</v>
      </c>
      <c r="U5" s="20">
        <v>5</v>
      </c>
      <c r="V5" s="22">
        <v>4</v>
      </c>
    </row>
    <row r="6" spans="1:22" ht="21" customHeight="1" thickBot="1" x14ac:dyDescent="0.3">
      <c r="A6" s="23">
        <f t="shared" ca="1" si="0"/>
        <v>1</v>
      </c>
      <c r="B6" s="23">
        <f t="shared" ca="1" si="0"/>
        <v>5</v>
      </c>
      <c r="C6" cm="1">
        <f t="array" aca="1" ref="C6" ca="1">INDEX(translate,A6,I$1)</f>
        <v>3</v>
      </c>
      <c r="D6" cm="1">
        <f t="array" aca="1" ref="D6" ca="1">INDEX(translate,B6,J$1)</f>
        <v>5</v>
      </c>
      <c r="E6" s="24" t="str" cm="1">
        <f t="array" aca="1" ref="E6" ca="1">INDEX(dice,C6)</f>
        <v>⚂</v>
      </c>
      <c r="F6" s="24" t="str" cm="1">
        <f t="array" aca="1" ref="F6" ca="1">INDEX(dice,D6)</f>
        <v>⚄</v>
      </c>
      <c r="G6">
        <f t="shared" ca="1" si="1"/>
        <v>-1</v>
      </c>
      <c r="H6">
        <f t="shared" ca="1" si="2"/>
        <v>-1</v>
      </c>
      <c r="L6" s="29" t="s">
        <v>372</v>
      </c>
      <c r="M6" s="31">
        <f ca="1">COUNTIF(G4:G83,1)/COUNT(G4:G83)</f>
        <v>0.62820512820512819</v>
      </c>
      <c r="R6" s="10" t="s">
        <v>310</v>
      </c>
      <c r="S6" s="16">
        <v>5</v>
      </c>
      <c r="T6" s="18">
        <v>3</v>
      </c>
      <c r="U6" s="20">
        <v>5</v>
      </c>
      <c r="V6" s="22">
        <v>4</v>
      </c>
    </row>
    <row r="7" spans="1:22" ht="21" customHeight="1" thickBot="1" x14ac:dyDescent="0.3">
      <c r="A7" s="23">
        <f t="shared" ca="1" si="0"/>
        <v>3</v>
      </c>
      <c r="B7" s="23">
        <f t="shared" ca="1" si="0"/>
        <v>1</v>
      </c>
      <c r="C7" cm="1">
        <f t="array" aca="1" ref="C7" ca="1">INDEX(translate,A7,I$1)</f>
        <v>3</v>
      </c>
      <c r="D7" cm="1">
        <f t="array" aca="1" ref="D7" ca="1">INDEX(translate,B7,J$1)</f>
        <v>2</v>
      </c>
      <c r="E7" s="24" t="str" cm="1">
        <f t="array" aca="1" ref="E7" ca="1">INDEX(dice,C7)</f>
        <v>⚂</v>
      </c>
      <c r="F7" s="24" t="str" cm="1">
        <f t="array" aca="1" ref="F7" ca="1">INDEX(dice,D7)</f>
        <v>⚁</v>
      </c>
      <c r="G7">
        <f t="shared" ca="1" si="1"/>
        <v>1</v>
      </c>
      <c r="H7">
        <f t="shared" ca="1" si="2"/>
        <v>1</v>
      </c>
      <c r="R7" s="10" t="s">
        <v>311</v>
      </c>
      <c r="S7" s="16">
        <v>6</v>
      </c>
      <c r="T7" s="18">
        <v>6</v>
      </c>
      <c r="U7" s="20">
        <v>5</v>
      </c>
      <c r="V7" s="22">
        <v>4</v>
      </c>
    </row>
    <row r="8" spans="1:22" ht="30" x14ac:dyDescent="0.2">
      <c r="A8" s="23">
        <f t="shared" ca="1" si="0"/>
        <v>5</v>
      </c>
      <c r="B8" s="23">
        <f t="shared" ca="1" si="0"/>
        <v>2</v>
      </c>
      <c r="C8" cm="1">
        <f t="array" aca="1" ref="C8" ca="1">INDEX(translate,A8,I$1)</f>
        <v>3</v>
      </c>
      <c r="D8" cm="1">
        <f t="array" aca="1" ref="D8" ca="1">INDEX(translate,B8,J$1)</f>
        <v>2</v>
      </c>
      <c r="E8" s="24" t="str" cm="1">
        <f t="array" aca="1" ref="E8" ca="1">INDEX(dice,C8)</f>
        <v>⚂</v>
      </c>
      <c r="F8" s="24" t="str" cm="1">
        <f t="array" aca="1" ref="F8" ca="1">INDEX(dice,D8)</f>
        <v>⚁</v>
      </c>
      <c r="G8">
        <f t="shared" ca="1" si="1"/>
        <v>1</v>
      </c>
      <c r="H8">
        <f t="shared" ca="1" si="2"/>
        <v>1</v>
      </c>
    </row>
    <row r="9" spans="1:22" ht="30" x14ac:dyDescent="0.2">
      <c r="A9" s="23">
        <f t="shared" ca="1" si="0"/>
        <v>6</v>
      </c>
      <c r="B9" s="23">
        <f t="shared" ca="1" si="0"/>
        <v>4</v>
      </c>
      <c r="C9" cm="1">
        <f t="array" aca="1" ref="C9" ca="1">INDEX(translate,A9,I$1)</f>
        <v>6</v>
      </c>
      <c r="D9" cm="1">
        <f t="array" aca="1" ref="D9" ca="1">INDEX(translate,B9,J$1)</f>
        <v>5</v>
      </c>
      <c r="E9" s="24" t="str" cm="1">
        <f t="array" aca="1" ref="E9" ca="1">INDEX(dice,C9)</f>
        <v>⚅</v>
      </c>
      <c r="F9" s="24" t="str" cm="1">
        <f t="array" aca="1" ref="F9" ca="1">INDEX(dice,D9)</f>
        <v>⚄</v>
      </c>
      <c r="G9">
        <f t="shared" ca="1" si="1"/>
        <v>1</v>
      </c>
      <c r="H9">
        <f t="shared" ca="1" si="2"/>
        <v>1</v>
      </c>
    </row>
    <row r="10" spans="1:22" ht="30" x14ac:dyDescent="0.2">
      <c r="A10" s="23">
        <f t="shared" ca="1" si="0"/>
        <v>4</v>
      </c>
      <c r="B10" s="23">
        <f t="shared" ca="1" si="0"/>
        <v>5</v>
      </c>
      <c r="C10" cm="1">
        <f t="array" aca="1" ref="C10" ca="1">INDEX(translate,A10,I$1)</f>
        <v>3</v>
      </c>
      <c r="D10" cm="1">
        <f t="array" aca="1" ref="D10" ca="1">INDEX(translate,B10,J$1)</f>
        <v>5</v>
      </c>
      <c r="E10" s="24" t="str" cm="1">
        <f t="array" aca="1" ref="E10" ca="1">INDEX(dice,C10)</f>
        <v>⚂</v>
      </c>
      <c r="F10" s="24" t="str" cm="1">
        <f t="array" aca="1" ref="F10" ca="1">INDEX(dice,D10)</f>
        <v>⚄</v>
      </c>
      <c r="G10">
        <f t="shared" ca="1" si="1"/>
        <v>-1</v>
      </c>
      <c r="H10">
        <f t="shared" ca="1" si="2"/>
        <v>-1</v>
      </c>
    </row>
    <row r="11" spans="1:22" ht="30" x14ac:dyDescent="0.2">
      <c r="A11" s="23">
        <f t="shared" ca="1" si="0"/>
        <v>4</v>
      </c>
      <c r="B11" s="23">
        <f t="shared" ca="1" si="0"/>
        <v>1</v>
      </c>
      <c r="C11" cm="1">
        <f t="array" aca="1" ref="C11" ca="1">INDEX(translate,A11,I$1)</f>
        <v>3</v>
      </c>
      <c r="D11" cm="1">
        <f t="array" aca="1" ref="D11" ca="1">INDEX(translate,B11,J$1)</f>
        <v>2</v>
      </c>
      <c r="E11" s="24" t="str" cm="1">
        <f t="array" aca="1" ref="E11" ca="1">INDEX(dice,C11)</f>
        <v>⚂</v>
      </c>
      <c r="F11" s="24" t="str" cm="1">
        <f t="array" aca="1" ref="F11" ca="1">INDEX(dice,D11)</f>
        <v>⚁</v>
      </c>
      <c r="G11">
        <f t="shared" ca="1" si="1"/>
        <v>1</v>
      </c>
      <c r="H11">
        <f t="shared" ca="1" si="2"/>
        <v>1</v>
      </c>
    </row>
    <row r="12" spans="1:22" ht="30" x14ac:dyDescent="0.2">
      <c r="A12" s="23">
        <f t="shared" ca="1" si="0"/>
        <v>1</v>
      </c>
      <c r="B12" s="23">
        <f t="shared" ca="1" si="0"/>
        <v>2</v>
      </c>
      <c r="C12" cm="1">
        <f t="array" aca="1" ref="C12" ca="1">INDEX(translate,A12,I$1)</f>
        <v>3</v>
      </c>
      <c r="D12" cm="1">
        <f t="array" aca="1" ref="D12" ca="1">INDEX(translate,B12,J$1)</f>
        <v>2</v>
      </c>
      <c r="E12" s="24" t="str" cm="1">
        <f t="array" aca="1" ref="E12" ca="1">INDEX(dice,C12)</f>
        <v>⚂</v>
      </c>
      <c r="F12" s="24" t="str" cm="1">
        <f t="array" aca="1" ref="F12" ca="1">INDEX(dice,D12)</f>
        <v>⚁</v>
      </c>
      <c r="G12">
        <f t="shared" ca="1" si="1"/>
        <v>1</v>
      </c>
      <c r="H12">
        <f t="shared" ca="1" si="2"/>
        <v>-1</v>
      </c>
    </row>
    <row r="13" spans="1:22" ht="30" x14ac:dyDescent="0.2">
      <c r="A13" s="23">
        <f t="shared" ca="1" si="0"/>
        <v>5</v>
      </c>
      <c r="B13" s="23">
        <f t="shared" ca="1" si="0"/>
        <v>5</v>
      </c>
      <c r="C13" cm="1">
        <f t="array" aca="1" ref="C13" ca="1">INDEX(translate,A13,I$1)</f>
        <v>3</v>
      </c>
      <c r="D13" cm="1">
        <f t="array" aca="1" ref="D13" ca="1">INDEX(translate,B13,J$1)</f>
        <v>5</v>
      </c>
      <c r="E13" s="24" t="str" cm="1">
        <f t="array" aca="1" ref="E13" ca="1">INDEX(dice,C13)</f>
        <v>⚂</v>
      </c>
      <c r="F13" s="24" t="str" cm="1">
        <f t="array" aca="1" ref="F13" ca="1">INDEX(dice,D13)</f>
        <v>⚄</v>
      </c>
      <c r="G13">
        <f t="shared" ca="1" si="1"/>
        <v>-1</v>
      </c>
      <c r="H13">
        <f t="shared" ca="1" si="2"/>
        <v>-1</v>
      </c>
    </row>
    <row r="14" spans="1:22" ht="30" x14ac:dyDescent="0.2">
      <c r="A14" s="23">
        <f t="shared" ca="1" si="0"/>
        <v>3</v>
      </c>
      <c r="B14" s="23">
        <f t="shared" ca="1" si="0"/>
        <v>5</v>
      </c>
      <c r="C14" cm="1">
        <f t="array" aca="1" ref="C14" ca="1">INDEX(translate,A14,I$1)</f>
        <v>3</v>
      </c>
      <c r="D14" cm="1">
        <f t="array" aca="1" ref="D14" ca="1">INDEX(translate,B14,J$1)</f>
        <v>5</v>
      </c>
      <c r="E14" s="24" t="str" cm="1">
        <f t="array" aca="1" ref="E14" ca="1">INDEX(dice,C14)</f>
        <v>⚂</v>
      </c>
      <c r="F14" s="24" t="str" cm="1">
        <f t="array" aca="1" ref="F14" ca="1">INDEX(dice,D14)</f>
        <v>⚄</v>
      </c>
      <c r="G14">
        <f t="shared" ca="1" si="1"/>
        <v>-1</v>
      </c>
      <c r="H14">
        <f t="shared" ca="1" si="2"/>
        <v>-1</v>
      </c>
    </row>
    <row r="15" spans="1:22" ht="30" x14ac:dyDescent="0.2">
      <c r="A15" s="23">
        <f t="shared" ca="1" si="0"/>
        <v>4</v>
      </c>
      <c r="B15" s="23">
        <f t="shared" ca="1" si="0"/>
        <v>1</v>
      </c>
      <c r="C15" cm="1">
        <f t="array" aca="1" ref="C15" ca="1">INDEX(translate,A15,I$1)</f>
        <v>3</v>
      </c>
      <c r="D15" cm="1">
        <f t="array" aca="1" ref="D15" ca="1">INDEX(translate,B15,J$1)</f>
        <v>2</v>
      </c>
      <c r="E15" s="24" t="str" cm="1">
        <f t="array" aca="1" ref="E15" ca="1">INDEX(dice,C15)</f>
        <v>⚂</v>
      </c>
      <c r="F15" s="24" t="str" cm="1">
        <f t="array" aca="1" ref="F15" ca="1">INDEX(dice,D15)</f>
        <v>⚁</v>
      </c>
      <c r="G15">
        <f t="shared" ca="1" si="1"/>
        <v>1</v>
      </c>
      <c r="H15">
        <f t="shared" ca="1" si="2"/>
        <v>1</v>
      </c>
    </row>
    <row r="16" spans="1:22" ht="30" x14ac:dyDescent="0.2">
      <c r="A16" s="23">
        <f t="shared" ca="1" si="0"/>
        <v>2</v>
      </c>
      <c r="B16" s="23">
        <f t="shared" ca="1" si="0"/>
        <v>2</v>
      </c>
      <c r="C16" cm="1">
        <f t="array" aca="1" ref="C16" ca="1">INDEX(translate,A16,I$1)</f>
        <v>3</v>
      </c>
      <c r="D16" cm="1">
        <f t="array" aca="1" ref="D16" ca="1">INDEX(translate,B16,J$1)</f>
        <v>2</v>
      </c>
      <c r="E16" s="24" t="str" cm="1">
        <f t="array" aca="1" ref="E16" ca="1">INDEX(dice,C16)</f>
        <v>⚂</v>
      </c>
      <c r="F16" s="24" t="str" cm="1">
        <f t="array" aca="1" ref="F16" ca="1">INDEX(dice,D16)</f>
        <v>⚁</v>
      </c>
      <c r="G16">
        <f t="shared" ca="1" si="1"/>
        <v>1</v>
      </c>
      <c r="H16">
        <f t="shared" ca="1" si="2"/>
        <v>-1</v>
      </c>
    </row>
    <row r="17" spans="1:8" ht="30" x14ac:dyDescent="0.2">
      <c r="A17" s="23">
        <f t="shared" ca="1" si="0"/>
        <v>6</v>
      </c>
      <c r="B17" s="23">
        <f t="shared" ca="1" si="0"/>
        <v>3</v>
      </c>
      <c r="C17" cm="1">
        <f t="array" aca="1" ref="C17" ca="1">INDEX(translate,A17,I$1)</f>
        <v>6</v>
      </c>
      <c r="D17" cm="1">
        <f t="array" aca="1" ref="D17" ca="1">INDEX(translate,B17,J$1)</f>
        <v>2</v>
      </c>
      <c r="E17" s="24" t="str" cm="1">
        <f t="array" aca="1" ref="E17" ca="1">INDEX(dice,C17)</f>
        <v>⚅</v>
      </c>
      <c r="F17" s="24" t="str" cm="1">
        <f t="array" aca="1" ref="F17" ca="1">INDEX(dice,D17)</f>
        <v>⚁</v>
      </c>
      <c r="G17">
        <f t="shared" ca="1" si="1"/>
        <v>1</v>
      </c>
      <c r="H17">
        <f t="shared" ca="1" si="2"/>
        <v>1</v>
      </c>
    </row>
    <row r="18" spans="1:8" ht="30" x14ac:dyDescent="0.2">
      <c r="A18" s="23">
        <f t="shared" ca="1" si="0"/>
        <v>2</v>
      </c>
      <c r="B18" s="23">
        <f t="shared" ca="1" si="0"/>
        <v>1</v>
      </c>
      <c r="C18" cm="1">
        <f t="array" aca="1" ref="C18" ca="1">INDEX(translate,A18,I$1)</f>
        <v>3</v>
      </c>
      <c r="D18" cm="1">
        <f t="array" aca="1" ref="D18" ca="1">INDEX(translate,B18,J$1)</f>
        <v>2</v>
      </c>
      <c r="E18" s="24" t="str" cm="1">
        <f t="array" aca="1" ref="E18" ca="1">INDEX(dice,C18)</f>
        <v>⚂</v>
      </c>
      <c r="F18" s="24" t="str" cm="1">
        <f t="array" aca="1" ref="F18" ca="1">INDEX(dice,D18)</f>
        <v>⚁</v>
      </c>
      <c r="G18">
        <f t="shared" ca="1" si="1"/>
        <v>1</v>
      </c>
      <c r="H18">
        <f t="shared" ca="1" si="2"/>
        <v>1</v>
      </c>
    </row>
    <row r="19" spans="1:8" ht="30" x14ac:dyDescent="0.2">
      <c r="A19" s="23">
        <f t="shared" ca="1" si="0"/>
        <v>5</v>
      </c>
      <c r="B19" s="23">
        <f t="shared" ca="1" si="0"/>
        <v>6</v>
      </c>
      <c r="C19" cm="1">
        <f t="array" aca="1" ref="C19" ca="1">INDEX(translate,A19,I$1)</f>
        <v>3</v>
      </c>
      <c r="D19" cm="1">
        <f t="array" aca="1" ref="D19" ca="1">INDEX(translate,B19,J$1)</f>
        <v>5</v>
      </c>
      <c r="E19" s="24" t="str" cm="1">
        <f t="array" aca="1" ref="E19" ca="1">INDEX(dice,C19)</f>
        <v>⚂</v>
      </c>
      <c r="F19" s="24" t="str" cm="1">
        <f t="array" aca="1" ref="F19" ca="1">INDEX(dice,D19)</f>
        <v>⚄</v>
      </c>
      <c r="G19">
        <f t="shared" ca="1" si="1"/>
        <v>-1</v>
      </c>
      <c r="H19">
        <f t="shared" ca="1" si="2"/>
        <v>-1</v>
      </c>
    </row>
    <row r="20" spans="1:8" ht="30" x14ac:dyDescent="0.2">
      <c r="A20" s="23">
        <f t="shared" ca="1" si="0"/>
        <v>5</v>
      </c>
      <c r="B20" s="23">
        <f t="shared" ca="1" si="0"/>
        <v>3</v>
      </c>
      <c r="C20" cm="1">
        <f t="array" aca="1" ref="C20" ca="1">INDEX(translate,A20,I$1)</f>
        <v>3</v>
      </c>
      <c r="D20" cm="1">
        <f t="array" aca="1" ref="D20" ca="1">INDEX(translate,B20,J$1)</f>
        <v>2</v>
      </c>
      <c r="E20" s="24" t="str" cm="1">
        <f t="array" aca="1" ref="E20" ca="1">INDEX(dice,C20)</f>
        <v>⚂</v>
      </c>
      <c r="F20" s="24" t="str" cm="1">
        <f t="array" aca="1" ref="F20" ca="1">INDEX(dice,D20)</f>
        <v>⚁</v>
      </c>
      <c r="G20">
        <f t="shared" ca="1" si="1"/>
        <v>1</v>
      </c>
      <c r="H20">
        <f t="shared" ca="1" si="2"/>
        <v>1</v>
      </c>
    </row>
    <row r="21" spans="1:8" ht="30" x14ac:dyDescent="0.2">
      <c r="A21" s="23">
        <f t="shared" ca="1" si="0"/>
        <v>3</v>
      </c>
      <c r="B21" s="23">
        <f t="shared" ca="1" si="0"/>
        <v>2</v>
      </c>
      <c r="C21" cm="1">
        <f t="array" aca="1" ref="C21" ca="1">INDEX(translate,A21,I$1)</f>
        <v>3</v>
      </c>
      <c r="D21" cm="1">
        <f t="array" aca="1" ref="D21" ca="1">INDEX(translate,B21,J$1)</f>
        <v>2</v>
      </c>
      <c r="E21" s="24" t="str" cm="1">
        <f t="array" aca="1" ref="E21" ca="1">INDEX(dice,C21)</f>
        <v>⚂</v>
      </c>
      <c r="F21" s="24" t="str" cm="1">
        <f t="array" aca="1" ref="F21" ca="1">INDEX(dice,D21)</f>
        <v>⚁</v>
      </c>
      <c r="G21">
        <f t="shared" ca="1" si="1"/>
        <v>1</v>
      </c>
      <c r="H21">
        <f t="shared" ca="1" si="2"/>
        <v>1</v>
      </c>
    </row>
    <row r="22" spans="1:8" ht="30" x14ac:dyDescent="0.2">
      <c r="A22" s="23">
        <f t="shared" ca="1" si="0"/>
        <v>1</v>
      </c>
      <c r="B22" s="23">
        <f t="shared" ca="1" si="0"/>
        <v>5</v>
      </c>
      <c r="C22" cm="1">
        <f t="array" aca="1" ref="C22" ca="1">INDEX(translate,A22,I$1)</f>
        <v>3</v>
      </c>
      <c r="D22" cm="1">
        <f t="array" aca="1" ref="D22" ca="1">INDEX(translate,B22,J$1)</f>
        <v>5</v>
      </c>
      <c r="E22" s="24" t="str" cm="1">
        <f t="array" aca="1" ref="E22" ca="1">INDEX(dice,C22)</f>
        <v>⚂</v>
      </c>
      <c r="F22" s="24" t="str" cm="1">
        <f t="array" aca="1" ref="F22" ca="1">INDEX(dice,D22)</f>
        <v>⚄</v>
      </c>
      <c r="G22">
        <f t="shared" ca="1" si="1"/>
        <v>-1</v>
      </c>
      <c r="H22">
        <f t="shared" ca="1" si="2"/>
        <v>-1</v>
      </c>
    </row>
    <row r="23" spans="1:8" ht="30" x14ac:dyDescent="0.2">
      <c r="A23" s="23">
        <f t="shared" ca="1" si="0"/>
        <v>4</v>
      </c>
      <c r="B23" s="23">
        <f t="shared" ca="1" si="0"/>
        <v>1</v>
      </c>
      <c r="C23" cm="1">
        <f t="array" aca="1" ref="C23" ca="1">INDEX(translate,A23,I$1)</f>
        <v>3</v>
      </c>
      <c r="D23" cm="1">
        <f t="array" aca="1" ref="D23" ca="1">INDEX(translate,B23,J$1)</f>
        <v>2</v>
      </c>
      <c r="E23" s="24" t="str" cm="1">
        <f t="array" aca="1" ref="E23" ca="1">INDEX(dice,C23)</f>
        <v>⚂</v>
      </c>
      <c r="F23" s="24" t="str" cm="1">
        <f t="array" aca="1" ref="F23" ca="1">INDEX(dice,D23)</f>
        <v>⚁</v>
      </c>
      <c r="G23">
        <f t="shared" ca="1" si="1"/>
        <v>1</v>
      </c>
      <c r="H23">
        <f t="shared" ca="1" si="2"/>
        <v>1</v>
      </c>
    </row>
    <row r="24" spans="1:8" ht="30" x14ac:dyDescent="0.2">
      <c r="A24" s="23">
        <f t="shared" ca="1" si="0"/>
        <v>4</v>
      </c>
      <c r="B24" s="23">
        <f t="shared" ca="1" si="0"/>
        <v>2</v>
      </c>
      <c r="C24" cm="1">
        <f t="array" aca="1" ref="C24" ca="1">INDEX(translate,A24,I$1)</f>
        <v>3</v>
      </c>
      <c r="D24" cm="1">
        <f t="array" aca="1" ref="D24" ca="1">INDEX(translate,B24,J$1)</f>
        <v>2</v>
      </c>
      <c r="E24" s="24" t="str" cm="1">
        <f t="array" aca="1" ref="E24" ca="1">INDEX(dice,C24)</f>
        <v>⚂</v>
      </c>
      <c r="F24" s="24" t="str" cm="1">
        <f t="array" aca="1" ref="F24" ca="1">INDEX(dice,D24)</f>
        <v>⚁</v>
      </c>
      <c r="G24">
        <f t="shared" ca="1" si="1"/>
        <v>1</v>
      </c>
      <c r="H24">
        <f t="shared" ca="1" si="2"/>
        <v>1</v>
      </c>
    </row>
    <row r="25" spans="1:8" ht="30" x14ac:dyDescent="0.2">
      <c r="A25" s="23">
        <f t="shared" ca="1" si="0"/>
        <v>6</v>
      </c>
      <c r="B25" s="23">
        <f t="shared" ca="1" si="0"/>
        <v>2</v>
      </c>
      <c r="C25" cm="1">
        <f t="array" aca="1" ref="C25" ca="1">INDEX(translate,A25,I$1)</f>
        <v>6</v>
      </c>
      <c r="D25" cm="1">
        <f t="array" aca="1" ref="D25" ca="1">INDEX(translate,B25,J$1)</f>
        <v>2</v>
      </c>
      <c r="E25" s="24" t="str" cm="1">
        <f t="array" aca="1" ref="E25" ca="1">INDEX(dice,C25)</f>
        <v>⚅</v>
      </c>
      <c r="F25" s="24" t="str" cm="1">
        <f t="array" aca="1" ref="F25" ca="1">INDEX(dice,D25)</f>
        <v>⚁</v>
      </c>
      <c r="G25">
        <f t="shared" ca="1" si="1"/>
        <v>1</v>
      </c>
      <c r="H25">
        <f t="shared" ca="1" si="2"/>
        <v>1</v>
      </c>
    </row>
    <row r="26" spans="1:8" ht="30" x14ac:dyDescent="0.2">
      <c r="A26" s="23">
        <f t="shared" ca="1" si="0"/>
        <v>2</v>
      </c>
      <c r="B26" s="23">
        <f t="shared" ca="1" si="0"/>
        <v>4</v>
      </c>
      <c r="C26" cm="1">
        <f t="array" aca="1" ref="C26" ca="1">INDEX(translate,A26,I$1)</f>
        <v>3</v>
      </c>
      <c r="D26" cm="1">
        <f t="array" aca="1" ref="D26" ca="1">INDEX(translate,B26,J$1)</f>
        <v>5</v>
      </c>
      <c r="E26" s="24" t="str" cm="1">
        <f t="array" aca="1" ref="E26" ca="1">INDEX(dice,C26)</f>
        <v>⚂</v>
      </c>
      <c r="F26" s="24" t="str" cm="1">
        <f t="array" aca="1" ref="F26" ca="1">INDEX(dice,D26)</f>
        <v>⚄</v>
      </c>
      <c r="G26">
        <f t="shared" ca="1" si="1"/>
        <v>-1</v>
      </c>
      <c r="H26">
        <f t="shared" ca="1" si="2"/>
        <v>-1</v>
      </c>
    </row>
    <row r="27" spans="1:8" ht="30" x14ac:dyDescent="0.2">
      <c r="A27" s="23">
        <f t="shared" ca="1" si="0"/>
        <v>3</v>
      </c>
      <c r="B27" s="23">
        <f t="shared" ca="1" si="0"/>
        <v>4</v>
      </c>
      <c r="C27" cm="1">
        <f t="array" aca="1" ref="C27" ca="1">INDEX(translate,A27,I$1)</f>
        <v>3</v>
      </c>
      <c r="D27" cm="1">
        <f t="array" aca="1" ref="D27" ca="1">INDEX(translate,B27,J$1)</f>
        <v>5</v>
      </c>
      <c r="E27" s="24" t="str" cm="1">
        <f t="array" aca="1" ref="E27" ca="1">INDEX(dice,C27)</f>
        <v>⚂</v>
      </c>
      <c r="F27" s="24" t="str" cm="1">
        <f t="array" aca="1" ref="F27" ca="1">INDEX(dice,D27)</f>
        <v>⚄</v>
      </c>
      <c r="G27">
        <f t="shared" ca="1" si="1"/>
        <v>-1</v>
      </c>
      <c r="H27">
        <f t="shared" ca="1" si="2"/>
        <v>-1</v>
      </c>
    </row>
    <row r="28" spans="1:8" ht="30" x14ac:dyDescent="0.2">
      <c r="A28" s="23">
        <f t="shared" ca="1" si="0"/>
        <v>1</v>
      </c>
      <c r="B28" s="23">
        <f t="shared" ca="1" si="0"/>
        <v>6</v>
      </c>
      <c r="C28" cm="1">
        <f t="array" aca="1" ref="C28" ca="1">INDEX(translate,A28,I$1)</f>
        <v>3</v>
      </c>
      <c r="D28" cm="1">
        <f t="array" aca="1" ref="D28" ca="1">INDEX(translate,B28,J$1)</f>
        <v>5</v>
      </c>
      <c r="E28" s="24" t="str" cm="1">
        <f t="array" aca="1" ref="E28" ca="1">INDEX(dice,C28)</f>
        <v>⚂</v>
      </c>
      <c r="F28" s="24" t="str" cm="1">
        <f t="array" aca="1" ref="F28" ca="1">INDEX(dice,D28)</f>
        <v>⚄</v>
      </c>
      <c r="G28">
        <f t="shared" ca="1" si="1"/>
        <v>-1</v>
      </c>
      <c r="H28">
        <f t="shared" ca="1" si="2"/>
        <v>-1</v>
      </c>
    </row>
    <row r="29" spans="1:8" ht="30" x14ac:dyDescent="0.2">
      <c r="A29" s="23">
        <f t="shared" ca="1" si="0"/>
        <v>2</v>
      </c>
      <c r="B29" s="23">
        <f t="shared" ca="1" si="0"/>
        <v>2</v>
      </c>
      <c r="C29" cm="1">
        <f t="array" aca="1" ref="C29" ca="1">INDEX(translate,A29,I$1)</f>
        <v>3</v>
      </c>
      <c r="D29" cm="1">
        <f t="array" aca="1" ref="D29" ca="1">INDEX(translate,B29,J$1)</f>
        <v>2</v>
      </c>
      <c r="E29" s="24" t="str" cm="1">
        <f t="array" aca="1" ref="E29" ca="1">INDEX(dice,C29)</f>
        <v>⚂</v>
      </c>
      <c r="F29" s="24" t="str" cm="1">
        <f t="array" aca="1" ref="F29" ca="1">INDEX(dice,D29)</f>
        <v>⚁</v>
      </c>
      <c r="G29">
        <f t="shared" ca="1" si="1"/>
        <v>1</v>
      </c>
      <c r="H29">
        <f t="shared" ca="1" si="2"/>
        <v>-1</v>
      </c>
    </row>
    <row r="30" spans="1:8" ht="30" x14ac:dyDescent="0.2">
      <c r="A30" s="23">
        <f t="shared" ca="1" si="0"/>
        <v>2</v>
      </c>
      <c r="B30" s="23">
        <f t="shared" ca="1" si="0"/>
        <v>3</v>
      </c>
      <c r="C30" cm="1">
        <f t="array" aca="1" ref="C30" ca="1">INDEX(translate,A30,I$1)</f>
        <v>3</v>
      </c>
      <c r="D30" cm="1">
        <f t="array" aca="1" ref="D30" ca="1">INDEX(translate,B30,J$1)</f>
        <v>2</v>
      </c>
      <c r="E30" s="24" t="str" cm="1">
        <f t="array" aca="1" ref="E30" ca="1">INDEX(dice,C30)</f>
        <v>⚂</v>
      </c>
      <c r="F30" s="24" t="str" cm="1">
        <f t="array" aca="1" ref="F30" ca="1">INDEX(dice,D30)</f>
        <v>⚁</v>
      </c>
      <c r="G30">
        <f t="shared" ca="1" si="1"/>
        <v>1</v>
      </c>
      <c r="H30">
        <f t="shared" ca="1" si="2"/>
        <v>-1</v>
      </c>
    </row>
    <row r="31" spans="1:8" ht="30" x14ac:dyDescent="0.2">
      <c r="A31" s="23">
        <f t="shared" ca="1" si="0"/>
        <v>4</v>
      </c>
      <c r="B31" s="23">
        <f t="shared" ca="1" si="0"/>
        <v>5</v>
      </c>
      <c r="C31" cm="1">
        <f t="array" aca="1" ref="C31" ca="1">INDEX(translate,A31,I$1)</f>
        <v>3</v>
      </c>
      <c r="D31" cm="1">
        <f t="array" aca="1" ref="D31" ca="1">INDEX(translate,B31,J$1)</f>
        <v>5</v>
      </c>
      <c r="E31" s="24" t="str" cm="1">
        <f t="array" aca="1" ref="E31" ca="1">INDEX(dice,C31)</f>
        <v>⚂</v>
      </c>
      <c r="F31" s="24" t="str" cm="1">
        <f t="array" aca="1" ref="F31" ca="1">INDEX(dice,D31)</f>
        <v>⚄</v>
      </c>
      <c r="G31">
        <f t="shared" ca="1" si="1"/>
        <v>-1</v>
      </c>
      <c r="H31">
        <f t="shared" ca="1" si="2"/>
        <v>-1</v>
      </c>
    </row>
    <row r="32" spans="1:8" ht="30" x14ac:dyDescent="0.2">
      <c r="A32" s="23">
        <f t="shared" ca="1" si="0"/>
        <v>4</v>
      </c>
      <c r="B32" s="23">
        <f t="shared" ca="1" si="0"/>
        <v>5</v>
      </c>
      <c r="C32" cm="1">
        <f t="array" aca="1" ref="C32" ca="1">INDEX(translate,A32,I$1)</f>
        <v>3</v>
      </c>
      <c r="D32" cm="1">
        <f t="array" aca="1" ref="D32" ca="1">INDEX(translate,B32,J$1)</f>
        <v>5</v>
      </c>
      <c r="E32" s="24" t="str" cm="1">
        <f t="array" aca="1" ref="E32" ca="1">INDEX(dice,C32)</f>
        <v>⚂</v>
      </c>
      <c r="F32" s="24" t="str" cm="1">
        <f t="array" aca="1" ref="F32" ca="1">INDEX(dice,D32)</f>
        <v>⚄</v>
      </c>
      <c r="G32">
        <f t="shared" ca="1" si="1"/>
        <v>-1</v>
      </c>
      <c r="H32">
        <f t="shared" ca="1" si="2"/>
        <v>-1</v>
      </c>
    </row>
    <row r="33" spans="1:8" ht="30" x14ac:dyDescent="0.2">
      <c r="A33" s="23">
        <f t="shared" ca="1" si="0"/>
        <v>5</v>
      </c>
      <c r="B33" s="23">
        <f t="shared" ca="1" si="0"/>
        <v>6</v>
      </c>
      <c r="C33" cm="1">
        <f t="array" aca="1" ref="C33" ca="1">INDEX(translate,A33,I$1)</f>
        <v>3</v>
      </c>
      <c r="D33" cm="1">
        <f t="array" aca="1" ref="D33" ca="1">INDEX(translate,B33,J$1)</f>
        <v>5</v>
      </c>
      <c r="E33" s="24" t="str" cm="1">
        <f t="array" aca="1" ref="E33" ca="1">INDEX(dice,C33)</f>
        <v>⚂</v>
      </c>
      <c r="F33" s="24" t="str" cm="1">
        <f t="array" aca="1" ref="F33" ca="1">INDEX(dice,D33)</f>
        <v>⚄</v>
      </c>
      <c r="G33">
        <f t="shared" ca="1" si="1"/>
        <v>-1</v>
      </c>
      <c r="H33">
        <f t="shared" ca="1" si="2"/>
        <v>-1</v>
      </c>
    </row>
    <row r="34" spans="1:8" ht="30" x14ac:dyDescent="0.2">
      <c r="A34" s="23">
        <f t="shared" ca="1" si="0"/>
        <v>5</v>
      </c>
      <c r="B34" s="23">
        <f t="shared" ca="1" si="0"/>
        <v>4</v>
      </c>
      <c r="C34" cm="1">
        <f t="array" aca="1" ref="C34" ca="1">INDEX(translate,A34,I$1)</f>
        <v>3</v>
      </c>
      <c r="D34" cm="1">
        <f t="array" aca="1" ref="D34" ca="1">INDEX(translate,B34,J$1)</f>
        <v>5</v>
      </c>
      <c r="E34" s="24" t="str" cm="1">
        <f t="array" aca="1" ref="E34" ca="1">INDEX(dice,C34)</f>
        <v>⚂</v>
      </c>
      <c r="F34" s="24" t="str" cm="1">
        <f t="array" aca="1" ref="F34" ca="1">INDEX(dice,D34)</f>
        <v>⚄</v>
      </c>
      <c r="G34">
        <f t="shared" ca="1" si="1"/>
        <v>-1</v>
      </c>
      <c r="H34">
        <f t="shared" ca="1" si="2"/>
        <v>1</v>
      </c>
    </row>
    <row r="35" spans="1:8" ht="30" x14ac:dyDescent="0.2">
      <c r="A35" s="23">
        <f t="shared" ref="A35:B81" ca="1" si="3">RANDBETWEEN(1,6)</f>
        <v>2</v>
      </c>
      <c r="B35" s="23">
        <f t="shared" ca="1" si="3"/>
        <v>2</v>
      </c>
      <c r="C35" cm="1">
        <f t="array" aca="1" ref="C35" ca="1">INDEX(translate,A35,I$1)</f>
        <v>3</v>
      </c>
      <c r="D35" cm="1">
        <f t="array" aca="1" ref="D35" ca="1">INDEX(translate,B35,J$1)</f>
        <v>2</v>
      </c>
      <c r="E35" s="24" t="str" cm="1">
        <f t="array" aca="1" ref="E35" ca="1">INDEX(dice,C35)</f>
        <v>⚂</v>
      </c>
      <c r="F35" s="24" t="str" cm="1">
        <f t="array" aca="1" ref="F35" ca="1">INDEX(dice,D35)</f>
        <v>⚁</v>
      </c>
      <c r="G35">
        <f t="shared" ca="1" si="1"/>
        <v>1</v>
      </c>
      <c r="H35">
        <f t="shared" ca="1" si="2"/>
        <v>-1</v>
      </c>
    </row>
    <row r="36" spans="1:8" ht="30" x14ac:dyDescent="0.2">
      <c r="A36" s="23">
        <f t="shared" ca="1" si="3"/>
        <v>1</v>
      </c>
      <c r="B36" s="23">
        <f t="shared" ca="1" si="3"/>
        <v>4</v>
      </c>
      <c r="C36" cm="1">
        <f t="array" aca="1" ref="C36" ca="1">INDEX(translate,A36,I$1)</f>
        <v>3</v>
      </c>
      <c r="D36" cm="1">
        <f t="array" aca="1" ref="D36" ca="1">INDEX(translate,B36,J$1)</f>
        <v>5</v>
      </c>
      <c r="E36" s="24" t="str" cm="1">
        <f t="array" aca="1" ref="E36" ca="1">INDEX(dice,C36)</f>
        <v>⚂</v>
      </c>
      <c r="F36" s="24" t="str" cm="1">
        <f t="array" aca="1" ref="F36" ca="1">INDEX(dice,D36)</f>
        <v>⚄</v>
      </c>
      <c r="G36">
        <f t="shared" ca="1" si="1"/>
        <v>-1</v>
      </c>
      <c r="H36">
        <f t="shared" ca="1" si="2"/>
        <v>-1</v>
      </c>
    </row>
    <row r="37" spans="1:8" ht="30" x14ac:dyDescent="0.2">
      <c r="A37" s="23">
        <f t="shared" ca="1" si="3"/>
        <v>3</v>
      </c>
      <c r="B37" s="23">
        <f t="shared" ca="1" si="3"/>
        <v>3</v>
      </c>
      <c r="C37" cm="1">
        <f t="array" aca="1" ref="C37" ca="1">INDEX(translate,A37,I$1)</f>
        <v>3</v>
      </c>
      <c r="D37" cm="1">
        <f t="array" aca="1" ref="D37" ca="1">INDEX(translate,B37,J$1)</f>
        <v>2</v>
      </c>
      <c r="E37" s="24" t="str" cm="1">
        <f t="array" aca="1" ref="E37" ca="1">INDEX(dice,C37)</f>
        <v>⚂</v>
      </c>
      <c r="F37" s="24" t="str" cm="1">
        <f t="array" aca="1" ref="F37" ca="1">INDEX(dice,D37)</f>
        <v>⚁</v>
      </c>
      <c r="G37">
        <f t="shared" ca="1" si="1"/>
        <v>1</v>
      </c>
      <c r="H37">
        <f t="shared" ca="1" si="2"/>
        <v>-1</v>
      </c>
    </row>
    <row r="38" spans="1:8" ht="30" x14ac:dyDescent="0.2">
      <c r="A38" s="23">
        <f t="shared" ca="1" si="3"/>
        <v>3</v>
      </c>
      <c r="B38" s="23">
        <f t="shared" ca="1" si="3"/>
        <v>2</v>
      </c>
      <c r="C38" cm="1">
        <f t="array" aca="1" ref="C38" ca="1">INDEX(translate,A38,I$1)</f>
        <v>3</v>
      </c>
      <c r="D38" cm="1">
        <f t="array" aca="1" ref="D38" ca="1">INDEX(translate,B38,J$1)</f>
        <v>2</v>
      </c>
      <c r="E38" s="24" t="str" cm="1">
        <f t="array" aca="1" ref="E38" ca="1">INDEX(dice,C38)</f>
        <v>⚂</v>
      </c>
      <c r="F38" s="24" t="str" cm="1">
        <f t="array" aca="1" ref="F38" ca="1">INDEX(dice,D38)</f>
        <v>⚁</v>
      </c>
      <c r="G38">
        <f t="shared" ca="1" si="1"/>
        <v>1</v>
      </c>
      <c r="H38">
        <f t="shared" ca="1" si="2"/>
        <v>1</v>
      </c>
    </row>
    <row r="39" spans="1:8" ht="30" x14ac:dyDescent="0.2">
      <c r="A39" s="23">
        <f t="shared" ca="1" si="3"/>
        <v>1</v>
      </c>
      <c r="B39" s="23">
        <f t="shared" ca="1" si="3"/>
        <v>3</v>
      </c>
      <c r="C39" cm="1">
        <f t="array" aca="1" ref="C39" ca="1">INDEX(translate,A39,I$1)</f>
        <v>3</v>
      </c>
      <c r="D39" cm="1">
        <f t="array" aca="1" ref="D39" ca="1">INDEX(translate,B39,J$1)</f>
        <v>2</v>
      </c>
      <c r="E39" s="24" t="str" cm="1">
        <f t="array" aca="1" ref="E39" ca="1">INDEX(dice,C39)</f>
        <v>⚂</v>
      </c>
      <c r="F39" s="24" t="str" cm="1">
        <f t="array" aca="1" ref="F39" ca="1">INDEX(dice,D39)</f>
        <v>⚁</v>
      </c>
      <c r="G39">
        <f t="shared" ca="1" si="1"/>
        <v>1</v>
      </c>
      <c r="H39">
        <f t="shared" ca="1" si="2"/>
        <v>-1</v>
      </c>
    </row>
    <row r="40" spans="1:8" ht="30" x14ac:dyDescent="0.2">
      <c r="A40" s="23">
        <f t="shared" ca="1" si="3"/>
        <v>6</v>
      </c>
      <c r="B40" s="23">
        <f t="shared" ca="1" si="3"/>
        <v>2</v>
      </c>
      <c r="C40" cm="1">
        <f t="array" aca="1" ref="C40" ca="1">INDEX(translate,A40,I$1)</f>
        <v>6</v>
      </c>
      <c r="D40" cm="1">
        <f t="array" aca="1" ref="D40" ca="1">INDEX(translate,B40,J$1)</f>
        <v>2</v>
      </c>
      <c r="E40" s="24" t="str" cm="1">
        <f t="array" aca="1" ref="E40" ca="1">INDEX(dice,C40)</f>
        <v>⚅</v>
      </c>
      <c r="F40" s="24" t="str" cm="1">
        <f t="array" aca="1" ref="F40" ca="1">INDEX(dice,D40)</f>
        <v>⚁</v>
      </c>
      <c r="G40">
        <f t="shared" ca="1" si="1"/>
        <v>1</v>
      </c>
      <c r="H40">
        <f t="shared" ca="1" si="2"/>
        <v>1</v>
      </c>
    </row>
    <row r="41" spans="1:8" ht="30" x14ac:dyDescent="0.2">
      <c r="A41" s="23">
        <f t="shared" ca="1" si="3"/>
        <v>3</v>
      </c>
      <c r="B41" s="23">
        <f t="shared" ca="1" si="3"/>
        <v>3</v>
      </c>
      <c r="C41" cm="1">
        <f t="array" aca="1" ref="C41" ca="1">INDEX(translate,A41,I$1)</f>
        <v>3</v>
      </c>
      <c r="D41" cm="1">
        <f t="array" aca="1" ref="D41" ca="1">INDEX(translate,B41,J$1)</f>
        <v>2</v>
      </c>
      <c r="E41" s="24" t="str" cm="1">
        <f t="array" aca="1" ref="E41" ca="1">INDEX(dice,C41)</f>
        <v>⚂</v>
      </c>
      <c r="F41" s="24" t="str" cm="1">
        <f t="array" aca="1" ref="F41" ca="1">INDEX(dice,D41)</f>
        <v>⚁</v>
      </c>
      <c r="G41">
        <f t="shared" ca="1" si="1"/>
        <v>1</v>
      </c>
      <c r="H41">
        <f t="shared" ca="1" si="2"/>
        <v>-1</v>
      </c>
    </row>
    <row r="42" spans="1:8" ht="30" x14ac:dyDescent="0.2">
      <c r="A42" s="23">
        <f t="shared" ca="1" si="3"/>
        <v>5</v>
      </c>
      <c r="B42" s="23">
        <f t="shared" ca="1" si="3"/>
        <v>6</v>
      </c>
      <c r="C42" cm="1">
        <f t="array" aca="1" ref="C42" ca="1">INDEX(translate,A42,I$1)</f>
        <v>3</v>
      </c>
      <c r="D42" cm="1">
        <f t="array" aca="1" ref="D42" ca="1">INDEX(translate,B42,J$1)</f>
        <v>5</v>
      </c>
      <c r="E42" s="24" t="str" cm="1">
        <f t="array" aca="1" ref="E42" ca="1">INDEX(dice,C42)</f>
        <v>⚂</v>
      </c>
      <c r="F42" s="24" t="str" cm="1">
        <f t="array" aca="1" ref="F42" ca="1">INDEX(dice,D42)</f>
        <v>⚄</v>
      </c>
      <c r="G42">
        <f t="shared" ca="1" si="1"/>
        <v>-1</v>
      </c>
      <c r="H42">
        <f t="shared" ca="1" si="2"/>
        <v>-1</v>
      </c>
    </row>
    <row r="43" spans="1:8" ht="30" x14ac:dyDescent="0.2">
      <c r="A43" s="23">
        <f t="shared" ca="1" si="3"/>
        <v>3</v>
      </c>
      <c r="B43" s="23">
        <f t="shared" ca="1" si="3"/>
        <v>1</v>
      </c>
      <c r="C43" cm="1">
        <f t="array" aca="1" ref="C43" ca="1">INDEX(translate,A43,I$1)</f>
        <v>3</v>
      </c>
      <c r="D43" cm="1">
        <f t="array" aca="1" ref="D43" ca="1">INDEX(translate,B43,J$1)</f>
        <v>2</v>
      </c>
      <c r="E43" s="24" t="str" cm="1">
        <f t="array" aca="1" ref="E43" ca="1">INDEX(dice,C43)</f>
        <v>⚂</v>
      </c>
      <c r="F43" s="24" t="str" cm="1">
        <f t="array" aca="1" ref="F43" ca="1">INDEX(dice,D43)</f>
        <v>⚁</v>
      </c>
      <c r="G43">
        <f t="shared" ca="1" si="1"/>
        <v>1</v>
      </c>
      <c r="H43">
        <f t="shared" ca="1" si="2"/>
        <v>1</v>
      </c>
    </row>
    <row r="44" spans="1:8" ht="30" x14ac:dyDescent="0.2">
      <c r="A44" s="23">
        <f t="shared" ca="1" si="3"/>
        <v>4</v>
      </c>
      <c r="B44" s="23">
        <f t="shared" ca="1" si="3"/>
        <v>2</v>
      </c>
      <c r="C44" cm="1">
        <f t="array" aca="1" ref="C44" ca="1">INDEX(translate,A44,I$1)</f>
        <v>3</v>
      </c>
      <c r="D44" cm="1">
        <f t="array" aca="1" ref="D44" ca="1">INDEX(translate,B44,J$1)</f>
        <v>2</v>
      </c>
      <c r="E44" s="24" t="str" cm="1">
        <f t="array" aca="1" ref="E44" ca="1">INDEX(dice,C44)</f>
        <v>⚂</v>
      </c>
      <c r="F44" s="24" t="str" cm="1">
        <f t="array" aca="1" ref="F44" ca="1">INDEX(dice,D44)</f>
        <v>⚁</v>
      </c>
      <c r="G44">
        <f t="shared" ca="1" si="1"/>
        <v>1</v>
      </c>
      <c r="H44">
        <f t="shared" ca="1" si="2"/>
        <v>1</v>
      </c>
    </row>
    <row r="45" spans="1:8" ht="30" x14ac:dyDescent="0.2">
      <c r="A45" s="23">
        <f t="shared" ca="1" si="3"/>
        <v>6</v>
      </c>
      <c r="B45" s="23">
        <f t="shared" ca="1" si="3"/>
        <v>1</v>
      </c>
      <c r="C45" cm="1">
        <f t="array" aca="1" ref="C45" ca="1">INDEX(translate,A45,I$1)</f>
        <v>6</v>
      </c>
      <c r="D45" cm="1">
        <f t="array" aca="1" ref="D45" ca="1">INDEX(translate,B45,J$1)</f>
        <v>2</v>
      </c>
      <c r="E45" s="24" t="str" cm="1">
        <f t="array" aca="1" ref="E45" ca="1">INDEX(dice,C45)</f>
        <v>⚅</v>
      </c>
      <c r="F45" s="24" t="str" cm="1">
        <f t="array" aca="1" ref="F45" ca="1">INDEX(dice,D45)</f>
        <v>⚁</v>
      </c>
      <c r="G45">
        <f t="shared" ca="1" si="1"/>
        <v>1</v>
      </c>
      <c r="H45">
        <f t="shared" ca="1" si="2"/>
        <v>1</v>
      </c>
    </row>
    <row r="46" spans="1:8" ht="30" x14ac:dyDescent="0.2">
      <c r="A46" s="23">
        <f t="shared" ca="1" si="3"/>
        <v>5</v>
      </c>
      <c r="B46" s="23">
        <f t="shared" ca="1" si="3"/>
        <v>3</v>
      </c>
      <c r="C46" cm="1">
        <f t="array" aca="1" ref="C46" ca="1">INDEX(translate,A46,I$1)</f>
        <v>3</v>
      </c>
      <c r="D46" cm="1">
        <f t="array" aca="1" ref="D46" ca="1">INDEX(translate,B46,J$1)</f>
        <v>2</v>
      </c>
      <c r="E46" s="24" t="str" cm="1">
        <f t="array" aca="1" ref="E46" ca="1">INDEX(dice,C46)</f>
        <v>⚂</v>
      </c>
      <c r="F46" s="24" t="str" cm="1">
        <f t="array" aca="1" ref="F46" ca="1">INDEX(dice,D46)</f>
        <v>⚁</v>
      </c>
      <c r="G46">
        <f t="shared" ca="1" si="1"/>
        <v>1</v>
      </c>
      <c r="H46">
        <f t="shared" ca="1" si="2"/>
        <v>1</v>
      </c>
    </row>
    <row r="47" spans="1:8" ht="30" x14ac:dyDescent="0.2">
      <c r="A47" s="23">
        <f t="shared" ca="1" si="3"/>
        <v>1</v>
      </c>
      <c r="B47" s="23">
        <f t="shared" ca="1" si="3"/>
        <v>6</v>
      </c>
      <c r="C47" cm="1">
        <f t="array" aca="1" ref="C47" ca="1">INDEX(translate,A47,I$1)</f>
        <v>3</v>
      </c>
      <c r="D47" cm="1">
        <f t="array" aca="1" ref="D47" ca="1">INDEX(translate,B47,J$1)</f>
        <v>5</v>
      </c>
      <c r="E47" s="24" t="str" cm="1">
        <f t="array" aca="1" ref="E47" ca="1">INDEX(dice,C47)</f>
        <v>⚂</v>
      </c>
      <c r="F47" s="24" t="str" cm="1">
        <f t="array" aca="1" ref="F47" ca="1">INDEX(dice,D47)</f>
        <v>⚄</v>
      </c>
      <c r="G47">
        <f t="shared" ca="1" si="1"/>
        <v>-1</v>
      </c>
      <c r="H47">
        <f t="shared" ca="1" si="2"/>
        <v>-1</v>
      </c>
    </row>
    <row r="48" spans="1:8" ht="30" x14ac:dyDescent="0.2">
      <c r="A48" s="23">
        <f t="shared" ca="1" si="3"/>
        <v>3</v>
      </c>
      <c r="B48" s="23">
        <f t="shared" ca="1" si="3"/>
        <v>3</v>
      </c>
      <c r="C48" cm="1">
        <f t="array" aca="1" ref="C48" ca="1">INDEX(translate,A48,I$1)</f>
        <v>3</v>
      </c>
      <c r="D48" cm="1">
        <f t="array" aca="1" ref="D48" ca="1">INDEX(translate,B48,J$1)</f>
        <v>2</v>
      </c>
      <c r="E48" s="24" t="str" cm="1">
        <f t="array" aca="1" ref="E48" ca="1">INDEX(dice,C48)</f>
        <v>⚂</v>
      </c>
      <c r="F48" s="24" t="str" cm="1">
        <f t="array" aca="1" ref="F48" ca="1">INDEX(dice,D48)</f>
        <v>⚁</v>
      </c>
      <c r="G48">
        <f t="shared" ca="1" si="1"/>
        <v>1</v>
      </c>
      <c r="H48">
        <f t="shared" ca="1" si="2"/>
        <v>-1</v>
      </c>
    </row>
    <row r="49" spans="1:8" ht="30" x14ac:dyDescent="0.2">
      <c r="A49" s="23">
        <f t="shared" ca="1" si="3"/>
        <v>1</v>
      </c>
      <c r="B49" s="23">
        <f t="shared" ca="1" si="3"/>
        <v>4</v>
      </c>
      <c r="C49" cm="1">
        <f t="array" aca="1" ref="C49" ca="1">INDEX(translate,A49,I$1)</f>
        <v>3</v>
      </c>
      <c r="D49" cm="1">
        <f t="array" aca="1" ref="D49" ca="1">INDEX(translate,B49,J$1)</f>
        <v>5</v>
      </c>
      <c r="E49" s="24" t="str" cm="1">
        <f t="array" aca="1" ref="E49" ca="1">INDEX(dice,C49)</f>
        <v>⚂</v>
      </c>
      <c r="F49" s="24" t="str" cm="1">
        <f t="array" aca="1" ref="F49" ca="1">INDEX(dice,D49)</f>
        <v>⚄</v>
      </c>
      <c r="G49">
        <f t="shared" ca="1" si="1"/>
        <v>-1</v>
      </c>
      <c r="H49">
        <f t="shared" ca="1" si="2"/>
        <v>-1</v>
      </c>
    </row>
    <row r="50" spans="1:8" ht="30" x14ac:dyDescent="0.2">
      <c r="A50" s="23">
        <f t="shared" ca="1" si="3"/>
        <v>1</v>
      </c>
      <c r="B50" s="23">
        <f t="shared" ca="1" si="3"/>
        <v>6</v>
      </c>
      <c r="C50" cm="1">
        <f t="array" aca="1" ref="C50" ca="1">INDEX(translate,A50,I$1)</f>
        <v>3</v>
      </c>
      <c r="D50" cm="1">
        <f t="array" aca="1" ref="D50" ca="1">INDEX(translate,B50,J$1)</f>
        <v>5</v>
      </c>
      <c r="E50" s="24" t="str" cm="1">
        <f t="array" aca="1" ref="E50" ca="1">INDEX(dice,C50)</f>
        <v>⚂</v>
      </c>
      <c r="F50" s="24" t="str" cm="1">
        <f t="array" aca="1" ref="F50" ca="1">INDEX(dice,D50)</f>
        <v>⚄</v>
      </c>
      <c r="G50">
        <f t="shared" ca="1" si="1"/>
        <v>-1</v>
      </c>
      <c r="H50">
        <f t="shared" ca="1" si="2"/>
        <v>-1</v>
      </c>
    </row>
    <row r="51" spans="1:8" ht="30" x14ac:dyDescent="0.2">
      <c r="A51" s="23">
        <f t="shared" ca="1" si="3"/>
        <v>3</v>
      </c>
      <c r="B51" s="23">
        <f t="shared" ca="1" si="3"/>
        <v>2</v>
      </c>
      <c r="C51" cm="1">
        <f t="array" aca="1" ref="C51" ca="1">INDEX(translate,A51,I$1)</f>
        <v>3</v>
      </c>
      <c r="D51" cm="1">
        <f t="array" aca="1" ref="D51" ca="1">INDEX(translate,B51,J$1)</f>
        <v>2</v>
      </c>
      <c r="E51" s="24" t="str" cm="1">
        <f t="array" aca="1" ref="E51" ca="1">INDEX(dice,C51)</f>
        <v>⚂</v>
      </c>
      <c r="F51" s="24" t="str" cm="1">
        <f t="array" aca="1" ref="F51" ca="1">INDEX(dice,D51)</f>
        <v>⚁</v>
      </c>
      <c r="G51">
        <f t="shared" ca="1" si="1"/>
        <v>1</v>
      </c>
      <c r="H51">
        <f t="shared" ca="1" si="2"/>
        <v>1</v>
      </c>
    </row>
    <row r="52" spans="1:8" ht="30" x14ac:dyDescent="0.2">
      <c r="A52" s="23">
        <f t="shared" ca="1" si="3"/>
        <v>4</v>
      </c>
      <c r="B52" s="23">
        <f t="shared" ca="1" si="3"/>
        <v>2</v>
      </c>
      <c r="C52" cm="1">
        <f t="array" aca="1" ref="C52" ca="1">INDEX(translate,A52,I$1)</f>
        <v>3</v>
      </c>
      <c r="D52" cm="1">
        <f t="array" aca="1" ref="D52" ca="1">INDEX(translate,B52,J$1)</f>
        <v>2</v>
      </c>
      <c r="E52" s="24" t="str" cm="1">
        <f t="array" aca="1" ref="E52" ca="1">INDEX(dice,C52)</f>
        <v>⚂</v>
      </c>
      <c r="F52" s="24" t="str" cm="1">
        <f t="array" aca="1" ref="F52" ca="1">INDEX(dice,D52)</f>
        <v>⚁</v>
      </c>
      <c r="G52">
        <f t="shared" ca="1" si="1"/>
        <v>1</v>
      </c>
      <c r="H52">
        <f t="shared" ca="1" si="2"/>
        <v>1</v>
      </c>
    </row>
    <row r="53" spans="1:8" ht="30" x14ac:dyDescent="0.2">
      <c r="A53" s="23">
        <f t="shared" ca="1" si="3"/>
        <v>5</v>
      </c>
      <c r="B53" s="23">
        <f t="shared" ca="1" si="3"/>
        <v>6</v>
      </c>
      <c r="C53" cm="1">
        <f t="array" aca="1" ref="C53" ca="1">INDEX(translate,A53,I$1)</f>
        <v>3</v>
      </c>
      <c r="D53" cm="1">
        <f t="array" aca="1" ref="D53" ca="1">INDEX(translate,B53,J$1)</f>
        <v>5</v>
      </c>
      <c r="E53" s="24" t="str" cm="1">
        <f t="array" aca="1" ref="E53" ca="1">INDEX(dice,C53)</f>
        <v>⚂</v>
      </c>
      <c r="F53" s="24" t="str" cm="1">
        <f t="array" aca="1" ref="F53" ca="1">INDEX(dice,D53)</f>
        <v>⚄</v>
      </c>
      <c r="G53">
        <f t="shared" ca="1" si="1"/>
        <v>-1</v>
      </c>
      <c r="H53">
        <f t="shared" ca="1" si="2"/>
        <v>-1</v>
      </c>
    </row>
    <row r="54" spans="1:8" ht="30" x14ac:dyDescent="0.2">
      <c r="A54" s="23">
        <f t="shared" ca="1" si="3"/>
        <v>6</v>
      </c>
      <c r="B54" s="23">
        <f t="shared" ca="1" si="3"/>
        <v>3</v>
      </c>
      <c r="C54" cm="1">
        <f t="array" aca="1" ref="C54" ca="1">INDEX(translate,A54,I$1)</f>
        <v>6</v>
      </c>
      <c r="D54" cm="1">
        <f t="array" aca="1" ref="D54" ca="1">INDEX(translate,B54,J$1)</f>
        <v>2</v>
      </c>
      <c r="E54" s="24" t="str" cm="1">
        <f t="array" aca="1" ref="E54" ca="1">INDEX(dice,C54)</f>
        <v>⚅</v>
      </c>
      <c r="F54" s="24" t="str" cm="1">
        <f t="array" aca="1" ref="F54" ca="1">INDEX(dice,D54)</f>
        <v>⚁</v>
      </c>
      <c r="G54">
        <f t="shared" ca="1" si="1"/>
        <v>1</v>
      </c>
      <c r="H54">
        <f t="shared" ca="1" si="2"/>
        <v>1</v>
      </c>
    </row>
    <row r="55" spans="1:8" ht="30" x14ac:dyDescent="0.2">
      <c r="A55" s="23">
        <f t="shared" ca="1" si="3"/>
        <v>6</v>
      </c>
      <c r="B55" s="23">
        <f t="shared" ca="1" si="3"/>
        <v>4</v>
      </c>
      <c r="C55" cm="1">
        <f t="array" aca="1" ref="C55" ca="1">INDEX(translate,A55,I$1)</f>
        <v>6</v>
      </c>
      <c r="D55" cm="1">
        <f t="array" aca="1" ref="D55" ca="1">INDEX(translate,B55,J$1)</f>
        <v>5</v>
      </c>
      <c r="E55" s="24" t="str" cm="1">
        <f t="array" aca="1" ref="E55" ca="1">INDEX(dice,C55)</f>
        <v>⚅</v>
      </c>
      <c r="F55" s="24" t="str" cm="1">
        <f t="array" aca="1" ref="F55" ca="1">INDEX(dice,D55)</f>
        <v>⚄</v>
      </c>
      <c r="G55">
        <f t="shared" ca="1" si="1"/>
        <v>1</v>
      </c>
      <c r="H55">
        <f t="shared" ca="1" si="2"/>
        <v>1</v>
      </c>
    </row>
    <row r="56" spans="1:8" ht="30" x14ac:dyDescent="0.2">
      <c r="A56" s="23">
        <f t="shared" ca="1" si="3"/>
        <v>2</v>
      </c>
      <c r="B56" s="23">
        <f t="shared" ca="1" si="3"/>
        <v>4</v>
      </c>
      <c r="C56" cm="1">
        <f t="array" aca="1" ref="C56" ca="1">INDEX(translate,A56,I$1)</f>
        <v>3</v>
      </c>
      <c r="D56" cm="1">
        <f t="array" aca="1" ref="D56" ca="1">INDEX(translate,B56,J$1)</f>
        <v>5</v>
      </c>
      <c r="E56" s="24" t="str" cm="1">
        <f t="array" aca="1" ref="E56" ca="1">INDEX(dice,C56)</f>
        <v>⚂</v>
      </c>
      <c r="F56" s="24" t="str" cm="1">
        <f t="array" aca="1" ref="F56" ca="1">INDEX(dice,D56)</f>
        <v>⚄</v>
      </c>
      <c r="G56">
        <f t="shared" ca="1" si="1"/>
        <v>-1</v>
      </c>
      <c r="H56">
        <f t="shared" ca="1" si="2"/>
        <v>-1</v>
      </c>
    </row>
    <row r="57" spans="1:8" ht="30" x14ac:dyDescent="0.2">
      <c r="A57" s="23">
        <f t="shared" ca="1" si="3"/>
        <v>3</v>
      </c>
      <c r="B57" s="23">
        <f t="shared" ca="1" si="3"/>
        <v>3</v>
      </c>
      <c r="C57" cm="1">
        <f t="array" aca="1" ref="C57" ca="1">INDEX(translate,A57,I$1)</f>
        <v>3</v>
      </c>
      <c r="D57" cm="1">
        <f t="array" aca="1" ref="D57" ca="1">INDEX(translate,B57,J$1)</f>
        <v>2</v>
      </c>
      <c r="E57" s="24" t="str" cm="1">
        <f t="array" aca="1" ref="E57" ca="1">INDEX(dice,C57)</f>
        <v>⚂</v>
      </c>
      <c r="F57" s="24" t="str" cm="1">
        <f t="array" aca="1" ref="F57" ca="1">INDEX(dice,D57)</f>
        <v>⚁</v>
      </c>
      <c r="G57">
        <f t="shared" ca="1" si="1"/>
        <v>1</v>
      </c>
      <c r="H57">
        <f t="shared" ca="1" si="2"/>
        <v>-1</v>
      </c>
    </row>
    <row r="58" spans="1:8" ht="30" x14ac:dyDescent="0.2">
      <c r="A58" s="23">
        <f t="shared" ca="1" si="3"/>
        <v>5</v>
      </c>
      <c r="B58" s="23">
        <f t="shared" ca="1" si="3"/>
        <v>6</v>
      </c>
      <c r="C58" cm="1">
        <f t="array" aca="1" ref="C58" ca="1">INDEX(translate,A58,I$1)</f>
        <v>3</v>
      </c>
      <c r="D58" cm="1">
        <f t="array" aca="1" ref="D58" ca="1">INDEX(translate,B58,J$1)</f>
        <v>5</v>
      </c>
      <c r="E58" s="24" t="str" cm="1">
        <f t="array" aca="1" ref="E58" ca="1">INDEX(dice,C58)</f>
        <v>⚂</v>
      </c>
      <c r="F58" s="24" t="str" cm="1">
        <f t="array" aca="1" ref="F58" ca="1">INDEX(dice,D58)</f>
        <v>⚄</v>
      </c>
      <c r="G58">
        <f t="shared" ca="1" si="1"/>
        <v>-1</v>
      </c>
      <c r="H58">
        <f t="shared" ca="1" si="2"/>
        <v>-1</v>
      </c>
    </row>
    <row r="59" spans="1:8" ht="30" x14ac:dyDescent="0.2">
      <c r="A59" s="23">
        <f t="shared" ca="1" si="3"/>
        <v>6</v>
      </c>
      <c r="B59" s="23">
        <f t="shared" ca="1" si="3"/>
        <v>6</v>
      </c>
      <c r="C59" cm="1">
        <f t="array" aca="1" ref="C59" ca="1">INDEX(translate,A59,I$1)</f>
        <v>6</v>
      </c>
      <c r="D59" cm="1">
        <f t="array" aca="1" ref="D59" ca="1">INDEX(translate,B59,J$1)</f>
        <v>5</v>
      </c>
      <c r="E59" s="24" t="str" cm="1">
        <f t="array" aca="1" ref="E59" ca="1">INDEX(dice,C59)</f>
        <v>⚅</v>
      </c>
      <c r="F59" s="24" t="str" cm="1">
        <f t="array" aca="1" ref="F59" ca="1">INDEX(dice,D59)</f>
        <v>⚄</v>
      </c>
      <c r="G59">
        <f t="shared" ca="1" si="1"/>
        <v>1</v>
      </c>
      <c r="H59">
        <f t="shared" ca="1" si="2"/>
        <v>-1</v>
      </c>
    </row>
    <row r="60" spans="1:8" ht="30" x14ac:dyDescent="0.2">
      <c r="A60" s="23">
        <f t="shared" ca="1" si="3"/>
        <v>5</v>
      </c>
      <c r="B60" s="23">
        <f t="shared" ca="1" si="3"/>
        <v>1</v>
      </c>
      <c r="C60" cm="1">
        <f t="array" aca="1" ref="C60" ca="1">INDEX(translate,A60,I$1)</f>
        <v>3</v>
      </c>
      <c r="D60" cm="1">
        <f t="array" aca="1" ref="D60" ca="1">INDEX(translate,B60,J$1)</f>
        <v>2</v>
      </c>
      <c r="E60" s="24" t="str" cm="1">
        <f t="array" aca="1" ref="E60" ca="1">INDEX(dice,C60)</f>
        <v>⚂</v>
      </c>
      <c r="F60" s="24" t="str" cm="1">
        <f t="array" aca="1" ref="F60" ca="1">INDEX(dice,D60)</f>
        <v>⚁</v>
      </c>
      <c r="G60">
        <f t="shared" ca="1" si="1"/>
        <v>1</v>
      </c>
      <c r="H60">
        <f t="shared" ca="1" si="2"/>
        <v>1</v>
      </c>
    </row>
    <row r="61" spans="1:8" ht="30" x14ac:dyDescent="0.2">
      <c r="A61" s="23">
        <f t="shared" ca="1" si="3"/>
        <v>6</v>
      </c>
      <c r="B61" s="23">
        <f t="shared" ca="1" si="3"/>
        <v>1</v>
      </c>
      <c r="C61" cm="1">
        <f t="array" aca="1" ref="C61" ca="1">INDEX(translate,A61,I$1)</f>
        <v>6</v>
      </c>
      <c r="D61" cm="1">
        <f t="array" aca="1" ref="D61" ca="1">INDEX(translate,B61,J$1)</f>
        <v>2</v>
      </c>
      <c r="E61" s="24" t="str" cm="1">
        <f t="array" aca="1" ref="E61" ca="1">INDEX(dice,C61)</f>
        <v>⚅</v>
      </c>
      <c r="F61" s="24" t="str" cm="1">
        <f t="array" aca="1" ref="F61" ca="1">INDEX(dice,D61)</f>
        <v>⚁</v>
      </c>
      <c r="G61">
        <f t="shared" ca="1" si="1"/>
        <v>1</v>
      </c>
      <c r="H61">
        <f t="shared" ca="1" si="2"/>
        <v>1</v>
      </c>
    </row>
    <row r="62" spans="1:8" ht="30" x14ac:dyDescent="0.2">
      <c r="A62" s="23">
        <f t="shared" ca="1" si="3"/>
        <v>3</v>
      </c>
      <c r="B62" s="23">
        <f t="shared" ca="1" si="3"/>
        <v>4</v>
      </c>
      <c r="C62" cm="1">
        <f t="array" aca="1" ref="C62" ca="1">INDEX(translate,A62,I$1)</f>
        <v>3</v>
      </c>
      <c r="D62" cm="1">
        <f t="array" aca="1" ref="D62" ca="1">INDEX(translate,B62,J$1)</f>
        <v>5</v>
      </c>
      <c r="E62" s="24" t="str" cm="1">
        <f t="array" aca="1" ref="E62" ca="1">INDEX(dice,C62)</f>
        <v>⚂</v>
      </c>
      <c r="F62" s="24" t="str" cm="1">
        <f t="array" aca="1" ref="F62" ca="1">INDEX(dice,D62)</f>
        <v>⚄</v>
      </c>
      <c r="G62">
        <f t="shared" ca="1" si="1"/>
        <v>-1</v>
      </c>
      <c r="H62">
        <f t="shared" ca="1" si="2"/>
        <v>-1</v>
      </c>
    </row>
    <row r="63" spans="1:8" ht="30" x14ac:dyDescent="0.2">
      <c r="A63" s="23">
        <f t="shared" ca="1" si="3"/>
        <v>2</v>
      </c>
      <c r="B63" s="23">
        <f t="shared" ca="1" si="3"/>
        <v>5</v>
      </c>
      <c r="C63" cm="1">
        <f t="array" aca="1" ref="C63" ca="1">INDEX(translate,A63,I$1)</f>
        <v>3</v>
      </c>
      <c r="D63" cm="1">
        <f t="array" aca="1" ref="D63" ca="1">INDEX(translate,B63,J$1)</f>
        <v>5</v>
      </c>
      <c r="E63" s="24" t="str" cm="1">
        <f t="array" aca="1" ref="E63" ca="1">INDEX(dice,C63)</f>
        <v>⚂</v>
      </c>
      <c r="F63" s="24" t="str" cm="1">
        <f t="array" aca="1" ref="F63" ca="1">INDEX(dice,D63)</f>
        <v>⚄</v>
      </c>
      <c r="G63">
        <f t="shared" ca="1" si="1"/>
        <v>-1</v>
      </c>
      <c r="H63">
        <f t="shared" ca="1" si="2"/>
        <v>-1</v>
      </c>
    </row>
    <row r="64" spans="1:8" ht="30" x14ac:dyDescent="0.2">
      <c r="A64" s="23">
        <f t="shared" ca="1" si="3"/>
        <v>2</v>
      </c>
      <c r="B64" s="23">
        <f t="shared" ca="1" si="3"/>
        <v>2</v>
      </c>
      <c r="C64" cm="1">
        <f t="array" aca="1" ref="C64" ca="1">INDEX(translate,A64,I$1)</f>
        <v>3</v>
      </c>
      <c r="D64" cm="1">
        <f t="array" aca="1" ref="D64" ca="1">INDEX(translate,B64,J$1)</f>
        <v>2</v>
      </c>
      <c r="E64" s="24" t="str" cm="1">
        <f t="array" aca="1" ref="E64" ca="1">INDEX(dice,C64)</f>
        <v>⚂</v>
      </c>
      <c r="F64" s="24" t="str" cm="1">
        <f t="array" aca="1" ref="F64" ca="1">INDEX(dice,D64)</f>
        <v>⚁</v>
      </c>
      <c r="G64">
        <f t="shared" ca="1" si="1"/>
        <v>1</v>
      </c>
      <c r="H64">
        <f t="shared" ca="1" si="2"/>
        <v>-1</v>
      </c>
    </row>
    <row r="65" spans="1:8" ht="30" x14ac:dyDescent="0.2">
      <c r="A65" s="23">
        <f t="shared" ca="1" si="3"/>
        <v>3</v>
      </c>
      <c r="B65" s="23">
        <f t="shared" ca="1" si="3"/>
        <v>4</v>
      </c>
      <c r="C65" cm="1">
        <f t="array" aca="1" ref="C65" ca="1">INDEX(translate,A65,I$1)</f>
        <v>3</v>
      </c>
      <c r="D65" cm="1">
        <f t="array" aca="1" ref="D65" ca="1">INDEX(translate,B65,J$1)</f>
        <v>5</v>
      </c>
      <c r="E65" s="24" t="str" cm="1">
        <f t="array" aca="1" ref="E65" ca="1">INDEX(dice,C65)</f>
        <v>⚂</v>
      </c>
      <c r="F65" s="24" t="str" cm="1">
        <f t="array" aca="1" ref="F65" ca="1">INDEX(dice,D65)</f>
        <v>⚄</v>
      </c>
      <c r="G65">
        <f t="shared" ca="1" si="1"/>
        <v>-1</v>
      </c>
      <c r="H65">
        <f t="shared" ca="1" si="2"/>
        <v>-1</v>
      </c>
    </row>
    <row r="66" spans="1:8" ht="30" x14ac:dyDescent="0.2">
      <c r="A66" s="23">
        <f t="shared" ca="1" si="3"/>
        <v>1</v>
      </c>
      <c r="B66" s="23">
        <f t="shared" ca="1" si="3"/>
        <v>6</v>
      </c>
      <c r="C66" cm="1">
        <f t="array" aca="1" ref="C66" ca="1">INDEX(translate,A66,I$1)</f>
        <v>3</v>
      </c>
      <c r="D66" cm="1">
        <f t="array" aca="1" ref="D66" ca="1">INDEX(translate,B66,J$1)</f>
        <v>5</v>
      </c>
      <c r="E66" s="24" t="str" cm="1">
        <f t="array" aca="1" ref="E66" ca="1">INDEX(dice,C66)</f>
        <v>⚂</v>
      </c>
      <c r="F66" s="24" t="str" cm="1">
        <f t="array" aca="1" ref="F66" ca="1">INDEX(dice,D66)</f>
        <v>⚄</v>
      </c>
      <c r="G66">
        <f t="shared" ca="1" si="1"/>
        <v>-1</v>
      </c>
      <c r="H66">
        <f t="shared" ca="1" si="2"/>
        <v>-1</v>
      </c>
    </row>
    <row r="67" spans="1:8" ht="30" x14ac:dyDescent="0.2">
      <c r="A67" s="23">
        <f t="shared" ca="1" si="3"/>
        <v>2</v>
      </c>
      <c r="B67" s="23">
        <f t="shared" ca="1" si="3"/>
        <v>1</v>
      </c>
      <c r="C67" cm="1">
        <f t="array" aca="1" ref="C67" ca="1">INDEX(translate,A67,I$1)</f>
        <v>3</v>
      </c>
      <c r="D67" cm="1">
        <f t="array" aca="1" ref="D67" ca="1">INDEX(translate,B67,J$1)</f>
        <v>2</v>
      </c>
      <c r="E67" s="24" t="str" cm="1">
        <f t="array" aca="1" ref="E67" ca="1">INDEX(dice,C67)</f>
        <v>⚂</v>
      </c>
      <c r="F67" s="24" t="str" cm="1">
        <f t="array" aca="1" ref="F67" ca="1">INDEX(dice,D67)</f>
        <v>⚁</v>
      </c>
      <c r="G67">
        <f t="shared" ref="G67:G81" ca="1" si="4">IF(E67&gt;F67,1,-1)</f>
        <v>1</v>
      </c>
      <c r="H67">
        <f t="shared" ref="H67:H81" ca="1" si="5">IF(A67&gt;B67,1,-1)</f>
        <v>1</v>
      </c>
    </row>
    <row r="68" spans="1:8" ht="30" x14ac:dyDescent="0.2">
      <c r="A68" s="23">
        <f t="shared" ca="1" si="3"/>
        <v>6</v>
      </c>
      <c r="B68" s="23">
        <f t="shared" ca="1" si="3"/>
        <v>2</v>
      </c>
      <c r="C68" cm="1">
        <f t="array" aca="1" ref="C68" ca="1">INDEX(translate,A68,I$1)</f>
        <v>6</v>
      </c>
      <c r="D68" cm="1">
        <f t="array" aca="1" ref="D68" ca="1">INDEX(translate,B68,J$1)</f>
        <v>2</v>
      </c>
      <c r="E68" s="24" t="str" cm="1">
        <f t="array" aca="1" ref="E68" ca="1">INDEX(dice,C68)</f>
        <v>⚅</v>
      </c>
      <c r="F68" s="24" t="str" cm="1">
        <f t="array" aca="1" ref="F68" ca="1">INDEX(dice,D68)</f>
        <v>⚁</v>
      </c>
      <c r="G68">
        <f t="shared" ca="1" si="4"/>
        <v>1</v>
      </c>
      <c r="H68">
        <f t="shared" ca="1" si="5"/>
        <v>1</v>
      </c>
    </row>
    <row r="69" spans="1:8" ht="30" x14ac:dyDescent="0.2">
      <c r="A69" s="23">
        <f t="shared" ca="1" si="3"/>
        <v>2</v>
      </c>
      <c r="B69" s="23">
        <f t="shared" ca="1" si="3"/>
        <v>1</v>
      </c>
      <c r="C69" cm="1">
        <f t="array" aca="1" ref="C69" ca="1">INDEX(translate,A69,I$1)</f>
        <v>3</v>
      </c>
      <c r="D69" cm="1">
        <f t="array" aca="1" ref="D69" ca="1">INDEX(translate,B69,J$1)</f>
        <v>2</v>
      </c>
      <c r="E69" s="24" t="str" cm="1">
        <f t="array" aca="1" ref="E69" ca="1">INDEX(dice,C69)</f>
        <v>⚂</v>
      </c>
      <c r="F69" s="24" t="str" cm="1">
        <f t="array" aca="1" ref="F69" ca="1">INDEX(dice,D69)</f>
        <v>⚁</v>
      </c>
      <c r="G69">
        <f t="shared" ca="1" si="4"/>
        <v>1</v>
      </c>
      <c r="H69">
        <f t="shared" ca="1" si="5"/>
        <v>1</v>
      </c>
    </row>
    <row r="70" spans="1:8" ht="30" x14ac:dyDescent="0.2">
      <c r="A70" s="23">
        <f t="shared" ca="1" si="3"/>
        <v>1</v>
      </c>
      <c r="B70" s="23">
        <f t="shared" ca="1" si="3"/>
        <v>1</v>
      </c>
      <c r="C70" cm="1">
        <f t="array" aca="1" ref="C70" ca="1">INDEX(translate,A70,I$1)</f>
        <v>3</v>
      </c>
      <c r="D70" cm="1">
        <f t="array" aca="1" ref="D70" ca="1">INDEX(translate,B70,J$1)</f>
        <v>2</v>
      </c>
      <c r="E70" s="24" t="str" cm="1">
        <f t="array" aca="1" ref="E70" ca="1">INDEX(dice,C70)</f>
        <v>⚂</v>
      </c>
      <c r="F70" s="24" t="str" cm="1">
        <f t="array" aca="1" ref="F70" ca="1">INDEX(dice,D70)</f>
        <v>⚁</v>
      </c>
      <c r="G70">
        <f t="shared" ca="1" si="4"/>
        <v>1</v>
      </c>
      <c r="H70">
        <f t="shared" ca="1" si="5"/>
        <v>-1</v>
      </c>
    </row>
    <row r="71" spans="1:8" ht="30" x14ac:dyDescent="0.2">
      <c r="A71" s="23">
        <f t="shared" ca="1" si="3"/>
        <v>4</v>
      </c>
      <c r="B71" s="23">
        <f t="shared" ca="1" si="3"/>
        <v>1</v>
      </c>
      <c r="C71" cm="1">
        <f t="array" aca="1" ref="C71" ca="1">INDEX(translate,A71,I$1)</f>
        <v>3</v>
      </c>
      <c r="D71" cm="1">
        <f t="array" aca="1" ref="D71" ca="1">INDEX(translate,B71,J$1)</f>
        <v>2</v>
      </c>
      <c r="E71" s="24" t="str" cm="1">
        <f t="array" aca="1" ref="E71" ca="1">INDEX(dice,C71)</f>
        <v>⚂</v>
      </c>
      <c r="F71" s="24" t="str" cm="1">
        <f t="array" aca="1" ref="F71" ca="1">INDEX(dice,D71)</f>
        <v>⚁</v>
      </c>
      <c r="G71">
        <f t="shared" ca="1" si="4"/>
        <v>1</v>
      </c>
      <c r="H71">
        <f t="shared" ca="1" si="5"/>
        <v>1</v>
      </c>
    </row>
    <row r="72" spans="1:8" ht="30" x14ac:dyDescent="0.2">
      <c r="A72" s="23">
        <f t="shared" ca="1" si="3"/>
        <v>4</v>
      </c>
      <c r="B72" s="23">
        <f t="shared" ca="1" si="3"/>
        <v>5</v>
      </c>
      <c r="C72" cm="1">
        <f t="array" aca="1" ref="C72" ca="1">INDEX(translate,A72,I$1)</f>
        <v>3</v>
      </c>
      <c r="D72" cm="1">
        <f t="array" aca="1" ref="D72" ca="1">INDEX(translate,B72,J$1)</f>
        <v>5</v>
      </c>
      <c r="E72" s="24" t="str" cm="1">
        <f t="array" aca="1" ref="E72" ca="1">INDEX(dice,C72)</f>
        <v>⚂</v>
      </c>
      <c r="F72" s="24" t="str" cm="1">
        <f t="array" aca="1" ref="F72" ca="1">INDEX(dice,D72)</f>
        <v>⚄</v>
      </c>
      <c r="G72">
        <f t="shared" ca="1" si="4"/>
        <v>-1</v>
      </c>
      <c r="H72">
        <f t="shared" ca="1" si="5"/>
        <v>-1</v>
      </c>
    </row>
    <row r="73" spans="1:8" ht="30" x14ac:dyDescent="0.2">
      <c r="A73" s="23">
        <f t="shared" ca="1" si="3"/>
        <v>5</v>
      </c>
      <c r="B73" s="23">
        <f t="shared" ca="1" si="3"/>
        <v>5</v>
      </c>
      <c r="C73" cm="1">
        <f t="array" aca="1" ref="C73" ca="1">INDEX(translate,A73,I$1)</f>
        <v>3</v>
      </c>
      <c r="D73" cm="1">
        <f t="array" aca="1" ref="D73" ca="1">INDEX(translate,B73,J$1)</f>
        <v>5</v>
      </c>
      <c r="E73" s="24" t="str" cm="1">
        <f t="array" aca="1" ref="E73" ca="1">INDEX(dice,C73)</f>
        <v>⚂</v>
      </c>
      <c r="F73" s="24" t="str" cm="1">
        <f t="array" aca="1" ref="F73" ca="1">INDEX(dice,D73)</f>
        <v>⚄</v>
      </c>
      <c r="G73">
        <f t="shared" ca="1" si="4"/>
        <v>-1</v>
      </c>
      <c r="H73">
        <f t="shared" ca="1" si="5"/>
        <v>-1</v>
      </c>
    </row>
    <row r="74" spans="1:8" ht="30" x14ac:dyDescent="0.2">
      <c r="A74" s="23">
        <f t="shared" ca="1" si="3"/>
        <v>6</v>
      </c>
      <c r="B74" s="23">
        <f t="shared" ca="1" si="3"/>
        <v>1</v>
      </c>
      <c r="C74" cm="1">
        <f t="array" aca="1" ref="C74" ca="1">INDEX(translate,A74,I$1)</f>
        <v>6</v>
      </c>
      <c r="D74" cm="1">
        <f t="array" aca="1" ref="D74" ca="1">INDEX(translate,B74,J$1)</f>
        <v>2</v>
      </c>
      <c r="E74" s="24" t="str" cm="1">
        <f t="array" aca="1" ref="E74" ca="1">INDEX(dice,C74)</f>
        <v>⚅</v>
      </c>
      <c r="F74" s="24" t="str" cm="1">
        <f t="array" aca="1" ref="F74" ca="1">INDEX(dice,D74)</f>
        <v>⚁</v>
      </c>
      <c r="G74">
        <f t="shared" ca="1" si="4"/>
        <v>1</v>
      </c>
      <c r="H74">
        <f t="shared" ca="1" si="5"/>
        <v>1</v>
      </c>
    </row>
    <row r="75" spans="1:8" ht="30" x14ac:dyDescent="0.2">
      <c r="A75" s="23">
        <f t="shared" ca="1" si="3"/>
        <v>4</v>
      </c>
      <c r="B75" s="23">
        <f t="shared" ca="1" si="3"/>
        <v>3</v>
      </c>
      <c r="C75" cm="1">
        <f t="array" aca="1" ref="C75" ca="1">INDEX(translate,A75,I$1)</f>
        <v>3</v>
      </c>
      <c r="D75" cm="1">
        <f t="array" aca="1" ref="D75" ca="1">INDEX(translate,B75,J$1)</f>
        <v>2</v>
      </c>
      <c r="E75" s="24" t="str" cm="1">
        <f t="array" aca="1" ref="E75" ca="1">INDEX(dice,C75)</f>
        <v>⚂</v>
      </c>
      <c r="F75" s="24" t="str" cm="1">
        <f t="array" aca="1" ref="F75" ca="1">INDEX(dice,D75)</f>
        <v>⚁</v>
      </c>
      <c r="G75">
        <f t="shared" ca="1" si="4"/>
        <v>1</v>
      </c>
      <c r="H75">
        <f t="shared" ca="1" si="5"/>
        <v>1</v>
      </c>
    </row>
    <row r="76" spans="1:8" ht="30" x14ac:dyDescent="0.2">
      <c r="A76" s="23">
        <f t="shared" ca="1" si="3"/>
        <v>3</v>
      </c>
      <c r="B76" s="23">
        <f t="shared" ca="1" si="3"/>
        <v>3</v>
      </c>
      <c r="C76" cm="1">
        <f t="array" aca="1" ref="C76" ca="1">INDEX(translate,A76,I$1)</f>
        <v>3</v>
      </c>
      <c r="D76" cm="1">
        <f t="array" aca="1" ref="D76" ca="1">INDEX(translate,B76,J$1)</f>
        <v>2</v>
      </c>
      <c r="E76" s="24" t="str" cm="1">
        <f t="array" aca="1" ref="E76" ca="1">INDEX(dice,C76)</f>
        <v>⚂</v>
      </c>
      <c r="F76" s="24" t="str" cm="1">
        <f t="array" aca="1" ref="F76" ca="1">INDEX(dice,D76)</f>
        <v>⚁</v>
      </c>
      <c r="G76">
        <f t="shared" ca="1" si="4"/>
        <v>1</v>
      </c>
      <c r="H76">
        <f t="shared" ca="1" si="5"/>
        <v>-1</v>
      </c>
    </row>
    <row r="77" spans="1:8" ht="30" x14ac:dyDescent="0.2">
      <c r="A77" s="23">
        <f t="shared" ca="1" si="3"/>
        <v>6</v>
      </c>
      <c r="B77" s="23">
        <f t="shared" ca="1" si="3"/>
        <v>5</v>
      </c>
      <c r="C77" cm="1">
        <f t="array" aca="1" ref="C77" ca="1">INDEX(translate,A77,I$1)</f>
        <v>6</v>
      </c>
      <c r="D77" cm="1">
        <f t="array" aca="1" ref="D77" ca="1">INDEX(translate,B77,J$1)</f>
        <v>5</v>
      </c>
      <c r="E77" s="24" t="str" cm="1">
        <f t="array" aca="1" ref="E77" ca="1">INDEX(dice,C77)</f>
        <v>⚅</v>
      </c>
      <c r="F77" s="24" t="str" cm="1">
        <f t="array" aca="1" ref="F77" ca="1">INDEX(dice,D77)</f>
        <v>⚄</v>
      </c>
      <c r="G77">
        <f t="shared" ca="1" si="4"/>
        <v>1</v>
      </c>
      <c r="H77">
        <f t="shared" ca="1" si="5"/>
        <v>1</v>
      </c>
    </row>
    <row r="78" spans="1:8" ht="30" x14ac:dyDescent="0.2">
      <c r="A78" s="23">
        <f t="shared" ca="1" si="3"/>
        <v>1</v>
      </c>
      <c r="B78" s="23">
        <f t="shared" ca="1" si="3"/>
        <v>3</v>
      </c>
      <c r="C78" cm="1">
        <f t="array" aca="1" ref="C78" ca="1">INDEX(translate,A78,I$1)</f>
        <v>3</v>
      </c>
      <c r="D78" cm="1">
        <f t="array" aca="1" ref="D78" ca="1">INDEX(translate,B78,J$1)</f>
        <v>2</v>
      </c>
      <c r="E78" s="24" t="str" cm="1">
        <f t="array" aca="1" ref="E78" ca="1">INDEX(dice,C78)</f>
        <v>⚂</v>
      </c>
      <c r="F78" s="24" t="str" cm="1">
        <f t="array" aca="1" ref="F78" ca="1">INDEX(dice,D78)</f>
        <v>⚁</v>
      </c>
      <c r="G78">
        <f t="shared" ca="1" si="4"/>
        <v>1</v>
      </c>
      <c r="H78">
        <f t="shared" ca="1" si="5"/>
        <v>-1</v>
      </c>
    </row>
    <row r="79" spans="1:8" ht="30" x14ac:dyDescent="0.2">
      <c r="A79" s="23">
        <f t="shared" ca="1" si="3"/>
        <v>3</v>
      </c>
      <c r="B79" s="23">
        <f t="shared" ca="1" si="3"/>
        <v>1</v>
      </c>
      <c r="C79" cm="1">
        <f t="array" aca="1" ref="C79" ca="1">INDEX(translate,A79,I$1)</f>
        <v>3</v>
      </c>
      <c r="D79" cm="1">
        <f t="array" aca="1" ref="D79" ca="1">INDEX(translate,B79,J$1)</f>
        <v>2</v>
      </c>
      <c r="E79" s="24" t="str" cm="1">
        <f t="array" aca="1" ref="E79" ca="1">INDEX(dice,C79)</f>
        <v>⚂</v>
      </c>
      <c r="F79" s="24" t="str" cm="1">
        <f t="array" aca="1" ref="F79" ca="1">INDEX(dice,D79)</f>
        <v>⚁</v>
      </c>
      <c r="G79">
        <f t="shared" ca="1" si="4"/>
        <v>1</v>
      </c>
      <c r="H79">
        <f t="shared" ca="1" si="5"/>
        <v>1</v>
      </c>
    </row>
    <row r="80" spans="1:8" ht="30" x14ac:dyDescent="0.2">
      <c r="A80" s="23">
        <f t="shared" ca="1" si="3"/>
        <v>1</v>
      </c>
      <c r="B80" s="23">
        <f t="shared" ca="1" si="3"/>
        <v>6</v>
      </c>
      <c r="C80" cm="1">
        <f t="array" aca="1" ref="C80" ca="1">INDEX(translate,A80,I$1)</f>
        <v>3</v>
      </c>
      <c r="D80" cm="1">
        <f t="array" aca="1" ref="D80" ca="1">INDEX(translate,B80,J$1)</f>
        <v>5</v>
      </c>
      <c r="E80" s="24" t="str" cm="1">
        <f t="array" aca="1" ref="E80" ca="1">INDEX(dice,C80)</f>
        <v>⚂</v>
      </c>
      <c r="F80" s="24" t="str" cm="1">
        <f t="array" aca="1" ref="F80" ca="1">INDEX(dice,D80)</f>
        <v>⚄</v>
      </c>
      <c r="G80">
        <f t="shared" ca="1" si="4"/>
        <v>-1</v>
      </c>
      <c r="H80">
        <f t="shared" ca="1" si="5"/>
        <v>-1</v>
      </c>
    </row>
    <row r="81" spans="1:8" ht="30" x14ac:dyDescent="0.2">
      <c r="A81" s="23">
        <f t="shared" ca="1" si="3"/>
        <v>1</v>
      </c>
      <c r="B81" s="23">
        <f t="shared" ca="1" si="3"/>
        <v>3</v>
      </c>
      <c r="C81" cm="1">
        <f t="array" aca="1" ref="C81" ca="1">INDEX(translate,A81,I$1)</f>
        <v>3</v>
      </c>
      <c r="D81" cm="1">
        <f t="array" aca="1" ref="D81" ca="1">INDEX(translate,B81,J$1)</f>
        <v>2</v>
      </c>
      <c r="E81" s="24" t="str" cm="1">
        <f t="array" aca="1" ref="E81" ca="1">INDEX(dice,C81)</f>
        <v>⚂</v>
      </c>
      <c r="F81" s="24" t="str" cm="1">
        <f t="array" aca="1" ref="F81" ca="1">INDEX(dice,D81)</f>
        <v>⚁</v>
      </c>
      <c r="G81">
        <f t="shared" ca="1" si="4"/>
        <v>1</v>
      </c>
      <c r="H81">
        <f t="shared" ca="1" si="5"/>
        <v>-1</v>
      </c>
    </row>
  </sheetData>
  <phoneticPr fontId="3" type="noConversion"/>
  <conditionalFormatting sqref="J1 F1:F1048576">
    <cfRule type="expression" dxfId="3" priority="1">
      <formula>$J$1=2</formula>
    </cfRule>
    <cfRule type="expression" dxfId="2" priority="2">
      <formula>$J$1=3</formula>
    </cfRule>
  </conditionalFormatting>
  <conditionalFormatting sqref="I1 E1:E1048576">
    <cfRule type="expression" dxfId="1" priority="3">
      <formula>$I$1=3</formula>
    </cfRule>
    <cfRule type="expression" dxfId="0" priority="4">
      <formula>$I$1=2</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C56278-0D68-45B0-BEE0-859F32A73C15}">
  <sheetPr codeName="Sheet8"/>
  <dimension ref="A1:K42"/>
  <sheetViews>
    <sheetView workbookViewId="0">
      <selection activeCell="I3" sqref="I3"/>
    </sheetView>
  </sheetViews>
  <sheetFormatPr defaultRowHeight="14.25" x14ac:dyDescent="0.2"/>
  <cols>
    <col min="1" max="1" width="10.5" customWidth="1"/>
    <col min="2" max="2" width="6.125" customWidth="1"/>
    <col min="3" max="3" width="4.5" customWidth="1"/>
    <col min="4" max="4" width="6.75" style="3" customWidth="1"/>
    <col min="5" max="5" width="5.125" style="3" customWidth="1"/>
    <col min="6" max="6" width="11.25" customWidth="1"/>
    <col min="7" max="7" width="5.25" customWidth="1"/>
    <col min="8" max="8" width="3.875" customWidth="1"/>
  </cols>
  <sheetData>
    <row r="1" spans="1:11" ht="15" thickBot="1" x14ac:dyDescent="0.25">
      <c r="D1" s="12" t="s">
        <v>313</v>
      </c>
      <c r="E1" s="12" t="s">
        <v>316</v>
      </c>
      <c r="F1" s="14" t="s">
        <v>317</v>
      </c>
      <c r="G1">
        <f ca="1">MIN(E2:E42)</f>
        <v>38</v>
      </c>
      <c r="I1" s="12" t="s">
        <v>318</v>
      </c>
      <c r="J1" s="12" t="s">
        <v>319</v>
      </c>
      <c r="K1" s="12" t="s">
        <v>320</v>
      </c>
    </row>
    <row r="2" spans="1:11" ht="15" thickBot="1" x14ac:dyDescent="0.25">
      <c r="A2" s="11" t="s">
        <v>315</v>
      </c>
      <c r="B2" s="13">
        <v>40</v>
      </c>
      <c r="E2" s="3">
        <f>B2</f>
        <v>40</v>
      </c>
      <c r="I2">
        <v>0</v>
      </c>
      <c r="J2">
        <v>17</v>
      </c>
      <c r="K2">
        <v>83</v>
      </c>
    </row>
    <row r="3" spans="1:11" ht="15" thickBot="1" x14ac:dyDescent="0.25">
      <c r="A3" s="11" t="s">
        <v>314</v>
      </c>
      <c r="B3" s="9">
        <f ca="1">COUNT(D:D)</f>
        <v>40</v>
      </c>
      <c r="D3" s="3">
        <f ca="1">IF(RAND()&gt;0.5,10,5)</f>
        <v>10</v>
      </c>
      <c r="E3" s="3">
        <f ca="1">IF(D3=10,E2-1,E2+1)</f>
        <v>39</v>
      </c>
      <c r="I3">
        <v>1</v>
      </c>
      <c r="J3">
        <v>25</v>
      </c>
      <c r="K3">
        <v>75</v>
      </c>
    </row>
    <row r="4" spans="1:11" x14ac:dyDescent="0.2">
      <c r="D4" s="3">
        <f t="shared" ref="D4:D42" ca="1" si="0">IF(RAND()&gt;0.5,10,5)</f>
        <v>5</v>
      </c>
      <c r="E4" s="3">
        <f t="shared" ref="E4:E42" ca="1" si="1">IF(D4=10,E3-1,E3+1)</f>
        <v>40</v>
      </c>
      <c r="I4">
        <v>2</v>
      </c>
      <c r="J4">
        <v>38</v>
      </c>
      <c r="K4">
        <v>62</v>
      </c>
    </row>
    <row r="5" spans="1:11" x14ac:dyDescent="0.2">
      <c r="D5" s="3">
        <f t="shared" ca="1" si="0"/>
        <v>10</v>
      </c>
      <c r="E5" s="3">
        <f t="shared" ca="1" si="1"/>
        <v>39</v>
      </c>
      <c r="I5">
        <v>3</v>
      </c>
      <c r="J5">
        <v>44</v>
      </c>
      <c r="K5">
        <v>56</v>
      </c>
    </row>
    <row r="6" spans="1:11" x14ac:dyDescent="0.2">
      <c r="D6" s="3">
        <f t="shared" ca="1" si="0"/>
        <v>10</v>
      </c>
      <c r="E6" s="3">
        <f t="shared" ca="1" si="1"/>
        <v>38</v>
      </c>
      <c r="I6">
        <v>4</v>
      </c>
      <c r="J6">
        <v>54</v>
      </c>
      <c r="K6">
        <v>46</v>
      </c>
    </row>
    <row r="7" spans="1:11" x14ac:dyDescent="0.2">
      <c r="D7" s="3">
        <f t="shared" ca="1" si="0"/>
        <v>5</v>
      </c>
      <c r="E7" s="3">
        <f t="shared" ca="1" si="1"/>
        <v>39</v>
      </c>
      <c r="I7">
        <v>5</v>
      </c>
      <c r="J7">
        <v>62</v>
      </c>
      <c r="K7">
        <v>38</v>
      </c>
    </row>
    <row r="8" spans="1:11" x14ac:dyDescent="0.2">
      <c r="D8" s="3">
        <f t="shared" ca="1" si="0"/>
        <v>5</v>
      </c>
      <c r="E8" s="3">
        <f t="shared" ca="1" si="1"/>
        <v>40</v>
      </c>
      <c r="I8">
        <v>6</v>
      </c>
      <c r="J8">
        <v>72</v>
      </c>
      <c r="K8">
        <v>28</v>
      </c>
    </row>
    <row r="9" spans="1:11" x14ac:dyDescent="0.2">
      <c r="D9" s="3">
        <f t="shared" ca="1" si="0"/>
        <v>10</v>
      </c>
      <c r="E9" s="3">
        <f t="shared" ca="1" si="1"/>
        <v>39</v>
      </c>
      <c r="I9">
        <v>7</v>
      </c>
      <c r="J9">
        <v>79</v>
      </c>
      <c r="K9">
        <v>21</v>
      </c>
    </row>
    <row r="10" spans="1:11" x14ac:dyDescent="0.2">
      <c r="D10" s="3">
        <f t="shared" ca="1" si="0"/>
        <v>10</v>
      </c>
      <c r="E10" s="3">
        <f t="shared" ca="1" si="1"/>
        <v>38</v>
      </c>
      <c r="I10">
        <v>8</v>
      </c>
      <c r="J10">
        <v>83</v>
      </c>
      <c r="K10">
        <v>17</v>
      </c>
    </row>
    <row r="11" spans="1:11" x14ac:dyDescent="0.2">
      <c r="D11" s="3">
        <f t="shared" ca="1" si="0"/>
        <v>5</v>
      </c>
      <c r="E11" s="3">
        <f t="shared" ca="1" si="1"/>
        <v>39</v>
      </c>
      <c r="I11">
        <v>9</v>
      </c>
      <c r="J11">
        <v>84</v>
      </c>
      <c r="K11">
        <v>16</v>
      </c>
    </row>
    <row r="12" spans="1:11" x14ac:dyDescent="0.2">
      <c r="D12" s="3">
        <f t="shared" ca="1" si="0"/>
        <v>5</v>
      </c>
      <c r="E12" s="3">
        <f t="shared" ca="1" si="1"/>
        <v>40</v>
      </c>
      <c r="I12">
        <v>10</v>
      </c>
      <c r="J12">
        <v>96</v>
      </c>
      <c r="K12">
        <v>4</v>
      </c>
    </row>
    <row r="13" spans="1:11" x14ac:dyDescent="0.2">
      <c r="D13" s="3">
        <f t="shared" ca="1" si="0"/>
        <v>5</v>
      </c>
      <c r="E13" s="3">
        <f t="shared" ca="1" si="1"/>
        <v>41</v>
      </c>
      <c r="I13">
        <v>11</v>
      </c>
      <c r="J13">
        <v>91</v>
      </c>
      <c r="K13">
        <v>9</v>
      </c>
    </row>
    <row r="14" spans="1:11" x14ac:dyDescent="0.2">
      <c r="D14" s="3">
        <f t="shared" ca="1" si="0"/>
        <v>5</v>
      </c>
      <c r="E14" s="3">
        <f t="shared" ca="1" si="1"/>
        <v>42</v>
      </c>
      <c r="I14">
        <v>12</v>
      </c>
      <c r="J14">
        <v>98</v>
      </c>
      <c r="K14">
        <v>2</v>
      </c>
    </row>
    <row r="15" spans="1:11" x14ac:dyDescent="0.2">
      <c r="D15" s="3">
        <f t="shared" ca="1" si="0"/>
        <v>5</v>
      </c>
      <c r="E15" s="3">
        <f t="shared" ca="1" si="1"/>
        <v>43</v>
      </c>
      <c r="I15">
        <v>13</v>
      </c>
      <c r="J15">
        <v>96</v>
      </c>
      <c r="K15">
        <v>4</v>
      </c>
    </row>
    <row r="16" spans="1:11" x14ac:dyDescent="0.2">
      <c r="D16" s="3">
        <f t="shared" ca="1" si="0"/>
        <v>10</v>
      </c>
      <c r="E16" s="3">
        <f t="shared" ca="1" si="1"/>
        <v>42</v>
      </c>
      <c r="I16">
        <v>14</v>
      </c>
      <c r="J16">
        <v>97</v>
      </c>
      <c r="K16">
        <v>3</v>
      </c>
    </row>
    <row r="17" spans="4:11" x14ac:dyDescent="0.2">
      <c r="D17" s="3">
        <f t="shared" ca="1" si="0"/>
        <v>10</v>
      </c>
      <c r="E17" s="3">
        <f t="shared" ca="1" si="1"/>
        <v>41</v>
      </c>
      <c r="I17">
        <v>15</v>
      </c>
      <c r="J17">
        <v>100</v>
      </c>
      <c r="K17">
        <v>0</v>
      </c>
    </row>
    <row r="18" spans="4:11" x14ac:dyDescent="0.2">
      <c r="D18" s="3">
        <f t="shared" ca="1" si="0"/>
        <v>10</v>
      </c>
      <c r="E18" s="3">
        <f t="shared" ca="1" si="1"/>
        <v>40</v>
      </c>
      <c r="I18">
        <v>16</v>
      </c>
      <c r="J18">
        <v>100</v>
      </c>
      <c r="K18">
        <v>0</v>
      </c>
    </row>
    <row r="19" spans="4:11" x14ac:dyDescent="0.2">
      <c r="D19" s="3">
        <f t="shared" ca="1" si="0"/>
        <v>5</v>
      </c>
      <c r="E19" s="3">
        <f t="shared" ca="1" si="1"/>
        <v>41</v>
      </c>
      <c r="I19">
        <v>17</v>
      </c>
      <c r="J19">
        <v>100</v>
      </c>
      <c r="K19">
        <v>0</v>
      </c>
    </row>
    <row r="20" spans="4:11" x14ac:dyDescent="0.2">
      <c r="D20" s="3">
        <f t="shared" ca="1" si="0"/>
        <v>5</v>
      </c>
      <c r="E20" s="3">
        <f t="shared" ca="1" si="1"/>
        <v>42</v>
      </c>
      <c r="I20">
        <v>18</v>
      </c>
      <c r="J20">
        <v>99</v>
      </c>
      <c r="K20">
        <v>1</v>
      </c>
    </row>
    <row r="21" spans="4:11" x14ac:dyDescent="0.2">
      <c r="D21" s="3">
        <f t="shared" ca="1" si="0"/>
        <v>10</v>
      </c>
      <c r="E21" s="3">
        <f t="shared" ca="1" si="1"/>
        <v>41</v>
      </c>
      <c r="I21">
        <v>19</v>
      </c>
      <c r="J21">
        <v>100</v>
      </c>
      <c r="K21">
        <v>0</v>
      </c>
    </row>
    <row r="22" spans="4:11" x14ac:dyDescent="0.2">
      <c r="D22" s="3">
        <f t="shared" ca="1" si="0"/>
        <v>5</v>
      </c>
      <c r="E22" s="3">
        <f t="shared" ca="1" si="1"/>
        <v>42</v>
      </c>
      <c r="I22">
        <v>20</v>
      </c>
      <c r="J22">
        <v>100</v>
      </c>
      <c r="K22">
        <v>0</v>
      </c>
    </row>
    <row r="23" spans="4:11" x14ac:dyDescent="0.2">
      <c r="D23" s="3">
        <f t="shared" ca="1" si="0"/>
        <v>5</v>
      </c>
      <c r="E23" s="3">
        <f t="shared" ca="1" si="1"/>
        <v>43</v>
      </c>
      <c r="I23">
        <v>21</v>
      </c>
      <c r="J23">
        <v>100</v>
      </c>
      <c r="K23">
        <v>0</v>
      </c>
    </row>
    <row r="24" spans="4:11" x14ac:dyDescent="0.2">
      <c r="D24" s="3">
        <f t="shared" ca="1" si="0"/>
        <v>5</v>
      </c>
      <c r="E24" s="3">
        <f t="shared" ca="1" si="1"/>
        <v>44</v>
      </c>
      <c r="I24">
        <v>22</v>
      </c>
      <c r="J24">
        <v>100</v>
      </c>
      <c r="K24">
        <v>0</v>
      </c>
    </row>
    <row r="25" spans="4:11" x14ac:dyDescent="0.2">
      <c r="D25" s="3">
        <f t="shared" ca="1" si="0"/>
        <v>5</v>
      </c>
      <c r="E25" s="3">
        <f t="shared" ca="1" si="1"/>
        <v>45</v>
      </c>
      <c r="I25">
        <v>23</v>
      </c>
      <c r="J25">
        <v>100</v>
      </c>
      <c r="K25">
        <v>0</v>
      </c>
    </row>
    <row r="26" spans="4:11" x14ac:dyDescent="0.2">
      <c r="D26" s="3">
        <f t="shared" ca="1" si="0"/>
        <v>10</v>
      </c>
      <c r="E26" s="3">
        <f t="shared" ca="1" si="1"/>
        <v>44</v>
      </c>
      <c r="I26">
        <v>24</v>
      </c>
      <c r="J26">
        <v>100</v>
      </c>
      <c r="K26">
        <v>0</v>
      </c>
    </row>
    <row r="27" spans="4:11" x14ac:dyDescent="0.2">
      <c r="D27" s="3">
        <f t="shared" ca="1" si="0"/>
        <v>10</v>
      </c>
      <c r="E27" s="3">
        <f t="shared" ca="1" si="1"/>
        <v>43</v>
      </c>
      <c r="I27">
        <v>25</v>
      </c>
      <c r="J27">
        <v>100</v>
      </c>
      <c r="K27">
        <v>0</v>
      </c>
    </row>
    <row r="28" spans="4:11" x14ac:dyDescent="0.2">
      <c r="D28" s="3">
        <f t="shared" ca="1" si="0"/>
        <v>5</v>
      </c>
      <c r="E28" s="3">
        <f t="shared" ca="1" si="1"/>
        <v>44</v>
      </c>
      <c r="I28">
        <v>26</v>
      </c>
      <c r="J28">
        <v>100</v>
      </c>
      <c r="K28">
        <v>0</v>
      </c>
    </row>
    <row r="29" spans="4:11" x14ac:dyDescent="0.2">
      <c r="D29" s="3">
        <f t="shared" ca="1" si="0"/>
        <v>10</v>
      </c>
      <c r="E29" s="3">
        <f t="shared" ca="1" si="1"/>
        <v>43</v>
      </c>
      <c r="I29">
        <v>27</v>
      </c>
      <c r="J29">
        <v>100</v>
      </c>
      <c r="K29">
        <v>0</v>
      </c>
    </row>
    <row r="30" spans="4:11" x14ac:dyDescent="0.2">
      <c r="D30" s="3">
        <f t="shared" ca="1" si="0"/>
        <v>5</v>
      </c>
      <c r="E30" s="3">
        <f t="shared" ca="1" si="1"/>
        <v>44</v>
      </c>
      <c r="I30">
        <v>28</v>
      </c>
      <c r="J30">
        <v>100</v>
      </c>
      <c r="K30">
        <v>0</v>
      </c>
    </row>
    <row r="31" spans="4:11" x14ac:dyDescent="0.2">
      <c r="D31" s="3">
        <f t="shared" ca="1" si="0"/>
        <v>10</v>
      </c>
      <c r="E31" s="3">
        <f t="shared" ca="1" si="1"/>
        <v>43</v>
      </c>
      <c r="I31">
        <v>29</v>
      </c>
      <c r="J31">
        <v>100</v>
      </c>
      <c r="K31">
        <v>0</v>
      </c>
    </row>
    <row r="32" spans="4:11" x14ac:dyDescent="0.2">
      <c r="D32" s="3">
        <f t="shared" ca="1" si="0"/>
        <v>5</v>
      </c>
      <c r="E32" s="3">
        <f t="shared" ca="1" si="1"/>
        <v>44</v>
      </c>
      <c r="I32">
        <v>30</v>
      </c>
      <c r="J32">
        <v>100</v>
      </c>
      <c r="K32">
        <v>0</v>
      </c>
    </row>
    <row r="33" spans="4:11" x14ac:dyDescent="0.2">
      <c r="D33" s="3">
        <f t="shared" ca="1" si="0"/>
        <v>5</v>
      </c>
      <c r="E33" s="3">
        <f t="shared" ca="1" si="1"/>
        <v>45</v>
      </c>
      <c r="I33">
        <v>31</v>
      </c>
      <c r="J33">
        <v>100</v>
      </c>
      <c r="K33">
        <v>0</v>
      </c>
    </row>
    <row r="34" spans="4:11" x14ac:dyDescent="0.2">
      <c r="D34" s="3">
        <f t="shared" ca="1" si="0"/>
        <v>10</v>
      </c>
      <c r="E34" s="3">
        <f t="shared" ca="1" si="1"/>
        <v>44</v>
      </c>
      <c r="I34">
        <v>32</v>
      </c>
      <c r="J34">
        <v>100</v>
      </c>
      <c r="K34">
        <v>0</v>
      </c>
    </row>
    <row r="35" spans="4:11" x14ac:dyDescent="0.2">
      <c r="D35" s="3">
        <f t="shared" ca="1" si="0"/>
        <v>10</v>
      </c>
      <c r="E35" s="3">
        <f t="shared" ca="1" si="1"/>
        <v>43</v>
      </c>
      <c r="I35">
        <v>33</v>
      </c>
      <c r="J35">
        <v>100</v>
      </c>
      <c r="K35">
        <v>0</v>
      </c>
    </row>
    <row r="36" spans="4:11" x14ac:dyDescent="0.2">
      <c r="D36" s="3">
        <f t="shared" ca="1" si="0"/>
        <v>10</v>
      </c>
      <c r="E36" s="3">
        <f t="shared" ca="1" si="1"/>
        <v>42</v>
      </c>
      <c r="I36">
        <v>34</v>
      </c>
      <c r="J36">
        <v>100</v>
      </c>
      <c r="K36">
        <v>0</v>
      </c>
    </row>
    <row r="37" spans="4:11" x14ac:dyDescent="0.2">
      <c r="D37" s="3">
        <f t="shared" ca="1" si="0"/>
        <v>10</v>
      </c>
      <c r="E37" s="3">
        <f t="shared" ca="1" si="1"/>
        <v>41</v>
      </c>
      <c r="I37">
        <v>35</v>
      </c>
      <c r="J37">
        <v>100</v>
      </c>
      <c r="K37">
        <v>0</v>
      </c>
    </row>
    <row r="38" spans="4:11" x14ac:dyDescent="0.2">
      <c r="D38" s="3">
        <f t="shared" ca="1" si="0"/>
        <v>5</v>
      </c>
      <c r="E38" s="3">
        <f t="shared" ca="1" si="1"/>
        <v>42</v>
      </c>
      <c r="I38">
        <v>36</v>
      </c>
      <c r="J38">
        <v>100</v>
      </c>
      <c r="K38">
        <v>0</v>
      </c>
    </row>
    <row r="39" spans="4:11" x14ac:dyDescent="0.2">
      <c r="D39" s="3">
        <f t="shared" ca="1" si="0"/>
        <v>5</v>
      </c>
      <c r="E39" s="3">
        <f t="shared" ca="1" si="1"/>
        <v>43</v>
      </c>
      <c r="I39">
        <v>37</v>
      </c>
      <c r="J39">
        <v>100</v>
      </c>
      <c r="K39">
        <v>0</v>
      </c>
    </row>
    <row r="40" spans="4:11" x14ac:dyDescent="0.2">
      <c r="D40" s="3">
        <f t="shared" ca="1" si="0"/>
        <v>5</v>
      </c>
      <c r="E40" s="3">
        <f t="shared" ca="1" si="1"/>
        <v>44</v>
      </c>
      <c r="I40">
        <v>38</v>
      </c>
      <c r="J40">
        <v>100</v>
      </c>
      <c r="K40">
        <v>0</v>
      </c>
    </row>
    <row r="41" spans="4:11" x14ac:dyDescent="0.2">
      <c r="D41" s="3">
        <f t="shared" ca="1" si="0"/>
        <v>10</v>
      </c>
      <c r="E41" s="3">
        <f t="shared" ca="1" si="1"/>
        <v>43</v>
      </c>
      <c r="I41">
        <v>39</v>
      </c>
      <c r="J41">
        <v>100</v>
      </c>
      <c r="K41">
        <v>0</v>
      </c>
    </row>
    <row r="42" spans="4:11" x14ac:dyDescent="0.2">
      <c r="D42" s="3">
        <f t="shared" ca="1" si="0"/>
        <v>10</v>
      </c>
      <c r="E42" s="3">
        <f t="shared" ca="1" si="1"/>
        <v>42</v>
      </c>
      <c r="I42">
        <v>40</v>
      </c>
      <c r="J42">
        <v>100</v>
      </c>
      <c r="K42">
        <v>0</v>
      </c>
    </row>
  </sheetData>
  <phoneticPr fontId="1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fiveTen">
                <anchor moveWithCells="1" sizeWithCells="1">
                  <from>
                    <xdr:col>11</xdr:col>
                    <xdr:colOff>438150</xdr:colOff>
                    <xdr:row>2</xdr:row>
                    <xdr:rowOff>28575</xdr:rowOff>
                  </from>
                  <to>
                    <xdr:col>13</xdr:col>
                    <xdr:colOff>171450</xdr:colOff>
                    <xdr:row>4</xdr:row>
                    <xdr:rowOff>57150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6980-E21B-41B8-99D1-DB4DAAE9E13E}">
  <sheetPr codeName="Sheet4"/>
  <dimension ref="A1:AF310"/>
  <sheetViews>
    <sheetView workbookViewId="0">
      <selection sqref="A1:XFD1048576"/>
    </sheetView>
  </sheetViews>
  <sheetFormatPr defaultColWidth="8.75" defaultRowHeight="14.25" x14ac:dyDescent="0.2"/>
  <cols>
    <col min="1" max="4" width="8.875" style="32" bestFit="1" customWidth="1"/>
    <col min="5" max="6" width="9.875" style="32" bestFit="1" customWidth="1"/>
    <col min="7" max="7" width="8.875" style="32" bestFit="1" customWidth="1"/>
    <col min="8" max="8" width="5.875" style="32" customWidth="1"/>
    <col min="9" max="9" width="3.125" style="32" customWidth="1"/>
    <col min="10" max="10" width="4.5" style="32" customWidth="1"/>
    <col min="11" max="11" width="3.125" style="32" customWidth="1"/>
    <col min="12" max="12" width="8.875" style="32" bestFit="1" customWidth="1"/>
    <col min="13" max="13" width="9.875" style="32" customWidth="1"/>
    <col min="14" max="14" width="8.875" style="32" bestFit="1" customWidth="1"/>
    <col min="15" max="15" width="4.125" style="32" customWidth="1"/>
    <col min="16" max="17" width="5" style="32" customWidth="1"/>
    <col min="18" max="16384" width="8.75" style="32"/>
  </cols>
  <sheetData>
    <row r="1" spans="1:32" x14ac:dyDescent="0.2">
      <c r="A1" s="32">
        <f>MOD(steps!C1,$L$1)</f>
        <v>16121</v>
      </c>
      <c r="B1" s="32" t="str">
        <f ca="1">IF(A1=0,C$1,C2)</f>
        <v>Welcome to Simulations  Shenghua!</v>
      </c>
      <c r="C1" s="32" t="s">
        <v>300</v>
      </c>
      <c r="L1" s="32">
        <v>100000</v>
      </c>
      <c r="N1" s="32" t="s">
        <v>346</v>
      </c>
      <c r="O1" s="33" t="s">
        <v>380</v>
      </c>
      <c r="P1" s="33" t="s">
        <v>302</v>
      </c>
      <c r="Q1" s="33" t="s">
        <v>303</v>
      </c>
    </row>
    <row r="2" spans="1:32" x14ac:dyDescent="0.2">
      <c r="B2" s="32">
        <f>IFERROR(MATCH(A1,L:L,0)-1,MOD(A1,4)+1)</f>
        <v>57</v>
      </c>
      <c r="C2" s="32" t="str">
        <f ca="1">"Welcome to Simulations  "&amp;C3&amp;"!"</f>
        <v>Welcome to Simulations  Shenghua!</v>
      </c>
      <c r="L2" s="32">
        <v>111</v>
      </c>
      <c r="M2" s="32" t="s">
        <v>2</v>
      </c>
      <c r="N2" s="32">
        <v>70</v>
      </c>
      <c r="O2" s="32">
        <v>40</v>
      </c>
    </row>
    <row r="3" spans="1:32" x14ac:dyDescent="0.2">
      <c r="C3" s="32" t="str">
        <f ca="1">OFFSET(M1,B2,0)</f>
        <v>Shenghua</v>
      </c>
      <c r="L3" s="32">
        <v>112</v>
      </c>
      <c r="M3" s="32" t="s">
        <v>3</v>
      </c>
      <c r="N3" s="32">
        <v>80</v>
      </c>
      <c r="O3" s="32">
        <v>45</v>
      </c>
    </row>
    <row r="4" spans="1:32" x14ac:dyDescent="0.2">
      <c r="C4" s="32" t="str">
        <f ca="1">LEFT(C3,3)</f>
        <v>She</v>
      </c>
      <c r="H4" s="32">
        <v>1</v>
      </c>
      <c r="L4" s="32">
        <v>113</v>
      </c>
      <c r="M4" s="32" t="s">
        <v>4</v>
      </c>
      <c r="N4" s="32">
        <v>80</v>
      </c>
      <c r="O4" s="32">
        <v>40</v>
      </c>
    </row>
    <row r="5" spans="1:32" x14ac:dyDescent="0.2">
      <c r="L5" s="32">
        <v>114</v>
      </c>
      <c r="M5" s="32" t="s">
        <v>5</v>
      </c>
      <c r="N5" s="32">
        <v>70</v>
      </c>
      <c r="O5" s="32">
        <v>40</v>
      </c>
      <c r="T5" s="34"/>
      <c r="U5" s="34">
        <f>IF(H5&gt;0,H5-1,H5)</f>
        <v>0</v>
      </c>
      <c r="V5" s="34">
        <f t="shared" ref="V5:AC5" si="0">IF(I5&gt;0,I5-1,I5)</f>
        <v>0</v>
      </c>
      <c r="W5" s="34">
        <f t="shared" si="0"/>
        <v>0</v>
      </c>
      <c r="X5" s="34">
        <f t="shared" si="0"/>
        <v>0</v>
      </c>
      <c r="Y5" s="34">
        <f t="shared" si="0"/>
        <v>113</v>
      </c>
      <c r="Z5" s="34" t="e">
        <f t="shared" si="0"/>
        <v>#VALUE!</v>
      </c>
      <c r="AA5" s="34">
        <f t="shared" si="0"/>
        <v>69</v>
      </c>
      <c r="AB5" s="34">
        <f t="shared" si="0"/>
        <v>39</v>
      </c>
      <c r="AC5" s="34">
        <f t="shared" si="0"/>
        <v>0</v>
      </c>
      <c r="AD5" s="34">
        <f>_xlfn.TEXTJOIN("",TRUE,U5:X5)*1</f>
        <v>0</v>
      </c>
      <c r="AE5" s="34" t="e">
        <f>_xlfn.TEXTJOIN("",TRUE,Y5:AC5)*1</f>
        <v>#VALUE!</v>
      </c>
      <c r="AF5" s="34">
        <f>R5</f>
        <v>0</v>
      </c>
    </row>
    <row r="6" spans="1:32" x14ac:dyDescent="0.2">
      <c r="C6" s="32">
        <f ca="1">IF($A$1=0,$C$1,OFFSET(N$1,$B$2,0))</f>
        <v>80</v>
      </c>
      <c r="D6" s="32" t="str">
        <f ca="1">IF($A$1=0,$C$1,"Copy  coins!A2:E2 to coins!A2:E"&amp;(1+C6)&amp;" ")</f>
        <v xml:space="preserve">Copy  coins!A2:E2 to coins!A2:E81 </v>
      </c>
      <c r="L6" s="32">
        <v>221</v>
      </c>
      <c r="M6" s="32" t="s">
        <v>6</v>
      </c>
      <c r="N6" s="32">
        <v>60</v>
      </c>
      <c r="O6" s="32">
        <v>45</v>
      </c>
    </row>
    <row r="7" spans="1:32" x14ac:dyDescent="0.2">
      <c r="D7" s="32" t="str">
        <f ca="1">IF($A$1=0,$C$1,"This should give you "&amp;C6&amp;" trials. ")</f>
        <v xml:space="preserve">This should give you 80 trials. </v>
      </c>
      <c r="L7" s="32">
        <v>222</v>
      </c>
      <c r="M7" s="32" t="s">
        <v>7</v>
      </c>
      <c r="N7" s="32">
        <v>50</v>
      </c>
      <c r="O7" s="32">
        <v>35</v>
      </c>
    </row>
    <row r="8" spans="1:32" x14ac:dyDescent="0.2">
      <c r="D8" s="41"/>
      <c r="E8" s="41"/>
      <c r="L8" s="32">
        <v>223</v>
      </c>
      <c r="M8" s="32" t="s">
        <v>8</v>
      </c>
      <c r="N8" s="32">
        <v>50</v>
      </c>
      <c r="O8" s="32">
        <v>50</v>
      </c>
    </row>
    <row r="9" spans="1:32" x14ac:dyDescent="0.2">
      <c r="L9" s="32">
        <v>224</v>
      </c>
      <c r="M9" s="32" t="s">
        <v>11</v>
      </c>
      <c r="N9" s="32">
        <v>90</v>
      </c>
      <c r="O9" s="32">
        <v>45</v>
      </c>
    </row>
    <row r="10" spans="1:32" x14ac:dyDescent="0.2">
      <c r="C10" s="32">
        <f ca="1">IF($A$1=0,$C$1,OFFSET(N$1,$B$2,0))</f>
        <v>80</v>
      </c>
      <c r="D10" s="32" t="str">
        <f ca="1">IF($A$1=0,$C$1,"Copy the dice!A2:G2 to dice!A2:G"&amp;(1+C10)&amp;" ")</f>
        <v xml:space="preserve">Copy the dice!A2:G2 to dice!A2:G81 </v>
      </c>
      <c r="L10" s="32">
        <v>225</v>
      </c>
      <c r="M10" s="32" t="s">
        <v>12</v>
      </c>
      <c r="N10" s="32">
        <v>70</v>
      </c>
      <c r="O10" s="32">
        <v>45</v>
      </c>
    </row>
    <row r="11" spans="1:32" x14ac:dyDescent="0.2">
      <c r="L11" s="32">
        <v>226</v>
      </c>
      <c r="M11" s="32" t="s">
        <v>10</v>
      </c>
      <c r="N11" s="32">
        <v>70</v>
      </c>
      <c r="O11" s="32">
        <v>50</v>
      </c>
    </row>
    <row r="12" spans="1:32" x14ac:dyDescent="0.2">
      <c r="D12" s="41"/>
      <c r="E12" s="41"/>
      <c r="L12" s="32">
        <v>227</v>
      </c>
      <c r="M12" s="32" t="s">
        <v>9</v>
      </c>
      <c r="N12" s="32">
        <v>80</v>
      </c>
      <c r="O12" s="32">
        <v>45</v>
      </c>
    </row>
    <row r="13" spans="1:32" x14ac:dyDescent="0.2">
      <c r="C13" s="32">
        <f ca="1">IF($A$1=0,$C$1,OFFSET(O$1,$B$2,0))</f>
        <v>40</v>
      </c>
      <c r="D13" s="32" t="str">
        <f ca="1">IF($A$1=0,$C$1,"Copy the fiveTen!D3:E3 to fiveTen!D3:E"&amp;(2+C13)&amp;" ")</f>
        <v xml:space="preserve">Copy the fiveTen!D3:E3 to fiveTen!D3:E42 </v>
      </c>
      <c r="L13" s="32">
        <v>678</v>
      </c>
      <c r="M13" s="32" t="s">
        <v>116</v>
      </c>
      <c r="N13" s="32">
        <v>90</v>
      </c>
      <c r="O13" s="32">
        <v>40</v>
      </c>
    </row>
    <row r="14" spans="1:32" x14ac:dyDescent="0.2">
      <c r="D14" s="32" t="str">
        <f ca="1">IF($A$1=0,$C$1,"This should give you "&amp;C13&amp;" rows of information. ")</f>
        <v xml:space="preserve">This should give you 40 rows of information. </v>
      </c>
      <c r="L14" s="32">
        <v>681</v>
      </c>
      <c r="M14" s="32" t="s">
        <v>107</v>
      </c>
      <c r="N14" s="32">
        <v>60</v>
      </c>
      <c r="O14" s="32">
        <v>45</v>
      </c>
    </row>
    <row r="15" spans="1:32" x14ac:dyDescent="0.2">
      <c r="L15" s="32">
        <v>1306</v>
      </c>
      <c r="M15" s="32" t="s">
        <v>184</v>
      </c>
      <c r="N15" s="32">
        <v>60</v>
      </c>
      <c r="O15" s="32">
        <v>40</v>
      </c>
    </row>
    <row r="16" spans="1:32" x14ac:dyDescent="0.2">
      <c r="L16" s="32">
        <v>1909</v>
      </c>
      <c r="M16" s="32" t="s">
        <v>115</v>
      </c>
      <c r="N16" s="32">
        <v>50</v>
      </c>
      <c r="O16" s="32">
        <v>45</v>
      </c>
    </row>
    <row r="17" spans="4:15" x14ac:dyDescent="0.2">
      <c r="L17" s="32">
        <v>2877</v>
      </c>
      <c r="M17" s="32" t="s">
        <v>159</v>
      </c>
      <c r="N17" s="32">
        <v>80</v>
      </c>
      <c r="O17" s="32">
        <v>50</v>
      </c>
    </row>
    <row r="18" spans="4:15" x14ac:dyDescent="0.2">
      <c r="L18" s="32">
        <v>3059</v>
      </c>
      <c r="M18" s="32" t="s">
        <v>88</v>
      </c>
      <c r="N18" s="32">
        <v>50</v>
      </c>
      <c r="O18" s="32">
        <v>40</v>
      </c>
    </row>
    <row r="19" spans="4:15" x14ac:dyDescent="0.2">
      <c r="L19" s="32">
        <v>4261</v>
      </c>
      <c r="M19" s="32" t="s">
        <v>71</v>
      </c>
      <c r="N19" s="32">
        <v>50</v>
      </c>
      <c r="O19" s="32">
        <v>30</v>
      </c>
    </row>
    <row r="20" spans="4:15" x14ac:dyDescent="0.2">
      <c r="L20" s="32">
        <v>4507</v>
      </c>
      <c r="M20" s="32" t="s">
        <v>296</v>
      </c>
      <c r="N20" s="32">
        <v>60</v>
      </c>
      <c r="O20" s="32">
        <v>35</v>
      </c>
    </row>
    <row r="21" spans="4:15" x14ac:dyDescent="0.2">
      <c r="L21" s="32">
        <v>4777</v>
      </c>
      <c r="M21" s="32" t="s">
        <v>246</v>
      </c>
      <c r="N21" s="32">
        <v>90</v>
      </c>
      <c r="O21" s="32">
        <v>50</v>
      </c>
    </row>
    <row r="22" spans="4:15" x14ac:dyDescent="0.2">
      <c r="D22" s="41"/>
      <c r="E22" s="41"/>
      <c r="L22" s="32">
        <v>4968</v>
      </c>
      <c r="M22" s="32" t="s">
        <v>298</v>
      </c>
      <c r="N22" s="32">
        <v>90</v>
      </c>
      <c r="O22" s="32">
        <v>40</v>
      </c>
    </row>
    <row r="23" spans="4:15" x14ac:dyDescent="0.2">
      <c r="L23" s="32">
        <v>5996</v>
      </c>
      <c r="M23" s="32" t="s">
        <v>16</v>
      </c>
      <c r="N23" s="32">
        <v>80</v>
      </c>
      <c r="O23" s="32">
        <v>30</v>
      </c>
    </row>
    <row r="24" spans="4:15" x14ac:dyDescent="0.2">
      <c r="L24" s="32">
        <v>6936</v>
      </c>
      <c r="M24" s="32" t="s">
        <v>193</v>
      </c>
      <c r="N24" s="32">
        <v>90</v>
      </c>
      <c r="O24" s="32">
        <v>50</v>
      </c>
    </row>
    <row r="25" spans="4:15" ht="18.95" customHeight="1" x14ac:dyDescent="0.2">
      <c r="L25" s="32">
        <v>6939</v>
      </c>
      <c r="M25" s="32" t="s">
        <v>201</v>
      </c>
      <c r="N25" s="32">
        <v>80</v>
      </c>
      <c r="O25" s="32">
        <v>35</v>
      </c>
    </row>
    <row r="26" spans="4:15" x14ac:dyDescent="0.2">
      <c r="L26" s="32">
        <v>6973</v>
      </c>
      <c r="M26" s="32" t="s">
        <v>139</v>
      </c>
      <c r="N26" s="32">
        <v>50</v>
      </c>
      <c r="O26" s="32">
        <v>35</v>
      </c>
    </row>
    <row r="27" spans="4:15" x14ac:dyDescent="0.2">
      <c r="L27" s="32">
        <v>6984</v>
      </c>
      <c r="M27" s="32" t="s">
        <v>263</v>
      </c>
      <c r="N27" s="32">
        <v>60</v>
      </c>
      <c r="O27" s="32">
        <v>45</v>
      </c>
    </row>
    <row r="28" spans="4:15" x14ac:dyDescent="0.2">
      <c r="L28" s="32">
        <v>7084</v>
      </c>
      <c r="M28" s="32" t="s">
        <v>148</v>
      </c>
      <c r="N28" s="32">
        <v>70</v>
      </c>
      <c r="O28" s="32">
        <v>50</v>
      </c>
    </row>
    <row r="29" spans="4:15" x14ac:dyDescent="0.2">
      <c r="L29" s="32">
        <v>7326</v>
      </c>
      <c r="M29" s="32" t="s">
        <v>257</v>
      </c>
      <c r="N29" s="32">
        <v>80</v>
      </c>
      <c r="O29" s="32">
        <v>50</v>
      </c>
    </row>
    <row r="30" spans="4:15" x14ac:dyDescent="0.2">
      <c r="L30" s="32">
        <v>7355</v>
      </c>
      <c r="M30" s="32" t="s">
        <v>281</v>
      </c>
      <c r="N30" s="32">
        <v>90</v>
      </c>
      <c r="O30" s="32">
        <v>30</v>
      </c>
    </row>
    <row r="31" spans="4:15" x14ac:dyDescent="0.2">
      <c r="L31" s="32">
        <v>7570</v>
      </c>
      <c r="M31" s="32" t="s">
        <v>273</v>
      </c>
      <c r="N31" s="32">
        <v>90</v>
      </c>
      <c r="O31" s="32">
        <v>40</v>
      </c>
    </row>
    <row r="32" spans="4:15" x14ac:dyDescent="0.2">
      <c r="L32" s="32">
        <v>7598</v>
      </c>
      <c r="M32" s="32" t="s">
        <v>234</v>
      </c>
      <c r="N32" s="32">
        <v>90</v>
      </c>
      <c r="O32" s="32">
        <v>30</v>
      </c>
    </row>
    <row r="33" spans="12:15" x14ac:dyDescent="0.2">
      <c r="L33" s="32">
        <v>7761</v>
      </c>
      <c r="M33" s="32" t="s">
        <v>182</v>
      </c>
      <c r="N33" s="32">
        <v>60</v>
      </c>
      <c r="O33" s="32">
        <v>35</v>
      </c>
    </row>
    <row r="34" spans="12:15" x14ac:dyDescent="0.2">
      <c r="L34" s="32">
        <v>9212</v>
      </c>
      <c r="M34" s="32" t="s">
        <v>171</v>
      </c>
      <c r="N34" s="32">
        <v>60</v>
      </c>
      <c r="O34" s="32">
        <v>35</v>
      </c>
    </row>
    <row r="35" spans="12:15" x14ac:dyDescent="0.2">
      <c r="L35" s="32">
        <v>9379</v>
      </c>
      <c r="M35" s="32" t="s">
        <v>148</v>
      </c>
      <c r="N35" s="32">
        <v>90</v>
      </c>
      <c r="O35" s="32">
        <v>30</v>
      </c>
    </row>
    <row r="36" spans="12:15" x14ac:dyDescent="0.2">
      <c r="L36" s="32">
        <v>9539</v>
      </c>
      <c r="M36" s="32" t="s">
        <v>129</v>
      </c>
      <c r="N36" s="32">
        <v>50</v>
      </c>
      <c r="O36" s="32">
        <v>50</v>
      </c>
    </row>
    <row r="37" spans="12:15" x14ac:dyDescent="0.2">
      <c r="L37" s="32">
        <v>10026</v>
      </c>
      <c r="M37" s="32" t="s">
        <v>97</v>
      </c>
      <c r="N37" s="32">
        <v>90</v>
      </c>
      <c r="O37" s="32">
        <v>50</v>
      </c>
    </row>
    <row r="38" spans="12:15" x14ac:dyDescent="0.2">
      <c r="L38" s="32">
        <v>10256</v>
      </c>
      <c r="M38" s="32" t="s">
        <v>223</v>
      </c>
      <c r="N38" s="32">
        <v>90</v>
      </c>
      <c r="O38" s="32">
        <v>40</v>
      </c>
    </row>
    <row r="39" spans="12:15" x14ac:dyDescent="0.2">
      <c r="L39" s="32">
        <v>10312</v>
      </c>
      <c r="M39" s="32" t="s">
        <v>177</v>
      </c>
      <c r="N39" s="32">
        <v>80</v>
      </c>
      <c r="O39" s="32">
        <v>45</v>
      </c>
    </row>
    <row r="40" spans="12:15" x14ac:dyDescent="0.2">
      <c r="L40" s="32">
        <v>10316</v>
      </c>
      <c r="M40" s="32" t="s">
        <v>81</v>
      </c>
      <c r="N40" s="32">
        <v>80</v>
      </c>
      <c r="O40" s="32">
        <v>40</v>
      </c>
    </row>
    <row r="41" spans="12:15" x14ac:dyDescent="0.2">
      <c r="L41" s="32">
        <v>10625</v>
      </c>
      <c r="M41" s="32" t="s">
        <v>269</v>
      </c>
      <c r="N41" s="32">
        <v>80</v>
      </c>
      <c r="O41" s="32">
        <v>40</v>
      </c>
    </row>
    <row r="42" spans="12:15" x14ac:dyDescent="0.2">
      <c r="L42" s="32">
        <v>10810</v>
      </c>
      <c r="M42" s="32" t="s">
        <v>179</v>
      </c>
      <c r="N42" s="32">
        <v>90</v>
      </c>
      <c r="O42" s="32">
        <v>50</v>
      </c>
    </row>
    <row r="43" spans="12:15" x14ac:dyDescent="0.2">
      <c r="L43" s="32">
        <v>11013</v>
      </c>
      <c r="M43" s="32" t="s">
        <v>108</v>
      </c>
      <c r="N43" s="32">
        <v>80</v>
      </c>
      <c r="O43" s="32">
        <v>35</v>
      </c>
    </row>
    <row r="44" spans="12:15" x14ac:dyDescent="0.2">
      <c r="L44" s="32">
        <v>11367</v>
      </c>
      <c r="M44" s="32" t="s">
        <v>266</v>
      </c>
      <c r="N44" s="32">
        <v>80</v>
      </c>
      <c r="O44" s="32">
        <v>35</v>
      </c>
    </row>
    <row r="45" spans="12:15" x14ac:dyDescent="0.2">
      <c r="L45" s="32">
        <v>11695</v>
      </c>
      <c r="M45" s="32" t="s">
        <v>72</v>
      </c>
      <c r="N45" s="32">
        <v>50</v>
      </c>
      <c r="O45" s="32">
        <v>45</v>
      </c>
    </row>
    <row r="46" spans="12:15" x14ac:dyDescent="0.2">
      <c r="L46" s="32">
        <v>12172</v>
      </c>
      <c r="M46" s="32" t="s">
        <v>173</v>
      </c>
      <c r="N46" s="32">
        <v>60</v>
      </c>
      <c r="O46" s="32">
        <v>45</v>
      </c>
    </row>
    <row r="47" spans="12:15" x14ac:dyDescent="0.2">
      <c r="L47" s="32">
        <v>12255</v>
      </c>
      <c r="M47" s="32" t="s">
        <v>250</v>
      </c>
      <c r="N47" s="32">
        <v>90</v>
      </c>
      <c r="O47" s="32">
        <v>30</v>
      </c>
    </row>
    <row r="48" spans="12:15" x14ac:dyDescent="0.2">
      <c r="L48" s="32">
        <v>13533</v>
      </c>
      <c r="M48" s="32" t="s">
        <v>53</v>
      </c>
      <c r="N48" s="32">
        <v>90</v>
      </c>
      <c r="O48" s="32">
        <v>40</v>
      </c>
    </row>
    <row r="49" spans="12:15" x14ac:dyDescent="0.2">
      <c r="L49" s="32">
        <v>13645</v>
      </c>
      <c r="M49" s="32" t="s">
        <v>243</v>
      </c>
      <c r="N49" s="32">
        <v>60</v>
      </c>
      <c r="O49" s="32">
        <v>40</v>
      </c>
    </row>
    <row r="50" spans="12:15" x14ac:dyDescent="0.2">
      <c r="L50" s="32">
        <v>13649</v>
      </c>
      <c r="M50" s="32" t="s">
        <v>277</v>
      </c>
      <c r="N50" s="32">
        <v>60</v>
      </c>
      <c r="O50" s="32">
        <v>40</v>
      </c>
    </row>
    <row r="51" spans="12:15" x14ac:dyDescent="0.2">
      <c r="L51" s="32">
        <v>13895</v>
      </c>
      <c r="M51" s="32" t="s">
        <v>46</v>
      </c>
      <c r="N51" s="32">
        <v>90</v>
      </c>
      <c r="O51" s="32">
        <v>35</v>
      </c>
    </row>
    <row r="52" spans="12:15" x14ac:dyDescent="0.2">
      <c r="L52" s="32">
        <v>13963</v>
      </c>
      <c r="M52" s="32" t="s">
        <v>254</v>
      </c>
      <c r="N52" s="32">
        <v>60</v>
      </c>
      <c r="O52" s="32">
        <v>50</v>
      </c>
    </row>
    <row r="53" spans="12:15" x14ac:dyDescent="0.2">
      <c r="L53" s="32">
        <v>14160</v>
      </c>
      <c r="M53" s="32" t="s">
        <v>110</v>
      </c>
      <c r="N53" s="32">
        <v>70</v>
      </c>
      <c r="O53" s="32">
        <v>30</v>
      </c>
    </row>
    <row r="54" spans="12:15" x14ac:dyDescent="0.2">
      <c r="L54" s="32">
        <v>14271</v>
      </c>
      <c r="M54" s="32" t="s">
        <v>149</v>
      </c>
      <c r="N54" s="32">
        <v>60</v>
      </c>
      <c r="O54" s="32">
        <v>45</v>
      </c>
    </row>
    <row r="55" spans="12:15" x14ac:dyDescent="0.2">
      <c r="L55" s="32">
        <v>15386</v>
      </c>
      <c r="M55" s="32" t="s">
        <v>33</v>
      </c>
      <c r="N55" s="32">
        <v>50</v>
      </c>
      <c r="O55" s="32">
        <v>45</v>
      </c>
    </row>
    <row r="56" spans="12:15" x14ac:dyDescent="0.2">
      <c r="L56" s="32">
        <v>15802</v>
      </c>
      <c r="M56" s="32" t="s">
        <v>92</v>
      </c>
      <c r="N56" s="32">
        <v>70</v>
      </c>
      <c r="O56" s="32">
        <v>50</v>
      </c>
    </row>
    <row r="57" spans="12:15" x14ac:dyDescent="0.2">
      <c r="L57" s="32">
        <v>15917</v>
      </c>
      <c r="M57" s="32" t="s">
        <v>146</v>
      </c>
      <c r="N57" s="32">
        <v>80</v>
      </c>
      <c r="O57" s="32">
        <v>35</v>
      </c>
    </row>
    <row r="58" spans="12:15" x14ac:dyDescent="0.2">
      <c r="L58" s="32">
        <v>16121</v>
      </c>
      <c r="M58" s="32" t="s">
        <v>96</v>
      </c>
      <c r="N58" s="32">
        <v>80</v>
      </c>
      <c r="O58" s="32">
        <v>40</v>
      </c>
    </row>
    <row r="59" spans="12:15" x14ac:dyDescent="0.2">
      <c r="L59" s="32">
        <v>16198</v>
      </c>
      <c r="M59" s="32" t="s">
        <v>167</v>
      </c>
      <c r="N59" s="32">
        <v>50</v>
      </c>
      <c r="O59" s="32">
        <v>45</v>
      </c>
    </row>
    <row r="60" spans="12:15" x14ac:dyDescent="0.2">
      <c r="L60" s="32">
        <v>16561</v>
      </c>
      <c r="M60" s="32" t="s">
        <v>77</v>
      </c>
      <c r="N60" s="32">
        <v>70</v>
      </c>
      <c r="O60" s="32">
        <v>30</v>
      </c>
    </row>
    <row r="61" spans="12:15" x14ac:dyDescent="0.2">
      <c r="L61" s="32">
        <v>17915</v>
      </c>
      <c r="M61" s="32" t="s">
        <v>180</v>
      </c>
      <c r="N61" s="32">
        <v>80</v>
      </c>
      <c r="O61" s="32">
        <v>40</v>
      </c>
    </row>
    <row r="62" spans="12:15" x14ac:dyDescent="0.2">
      <c r="L62" s="32">
        <v>19501</v>
      </c>
      <c r="M62" s="32" t="s">
        <v>267</v>
      </c>
      <c r="N62" s="32">
        <v>80</v>
      </c>
      <c r="O62" s="32">
        <v>30</v>
      </c>
    </row>
    <row r="63" spans="12:15" x14ac:dyDescent="0.2">
      <c r="L63" s="32">
        <v>19547</v>
      </c>
      <c r="M63" s="32" t="s">
        <v>100</v>
      </c>
      <c r="N63" s="32">
        <v>90</v>
      </c>
      <c r="O63" s="32">
        <v>35</v>
      </c>
    </row>
    <row r="64" spans="12:15" x14ac:dyDescent="0.2">
      <c r="L64" s="32">
        <v>19644</v>
      </c>
      <c r="M64" s="32" t="s">
        <v>294</v>
      </c>
      <c r="N64" s="32">
        <v>90</v>
      </c>
      <c r="O64" s="32">
        <v>40</v>
      </c>
    </row>
    <row r="65" spans="12:15" x14ac:dyDescent="0.2">
      <c r="L65" s="32">
        <v>20389</v>
      </c>
      <c r="M65" s="32" t="s">
        <v>82</v>
      </c>
      <c r="N65" s="32">
        <v>90</v>
      </c>
      <c r="O65" s="32">
        <v>35</v>
      </c>
    </row>
    <row r="66" spans="12:15" x14ac:dyDescent="0.2">
      <c r="L66" s="32">
        <v>21147</v>
      </c>
      <c r="M66" s="32" t="s">
        <v>156</v>
      </c>
      <c r="N66" s="32">
        <v>70</v>
      </c>
      <c r="O66" s="32">
        <v>40</v>
      </c>
    </row>
    <row r="67" spans="12:15" x14ac:dyDescent="0.2">
      <c r="L67" s="32">
        <v>21504</v>
      </c>
      <c r="M67" s="32" t="s">
        <v>287</v>
      </c>
      <c r="N67" s="32">
        <v>80</v>
      </c>
      <c r="O67" s="32">
        <v>45</v>
      </c>
    </row>
    <row r="68" spans="12:15" x14ac:dyDescent="0.2">
      <c r="L68" s="32">
        <v>22186</v>
      </c>
      <c r="M68" s="32" t="s">
        <v>75</v>
      </c>
      <c r="N68" s="32">
        <v>60</v>
      </c>
      <c r="O68" s="32">
        <v>50</v>
      </c>
    </row>
    <row r="69" spans="12:15" x14ac:dyDescent="0.2">
      <c r="L69" s="32">
        <v>23028</v>
      </c>
      <c r="M69" s="32" t="s">
        <v>143</v>
      </c>
      <c r="N69" s="32">
        <v>60</v>
      </c>
      <c r="O69" s="32">
        <v>35</v>
      </c>
    </row>
    <row r="70" spans="12:15" x14ac:dyDescent="0.2">
      <c r="L70" s="32">
        <v>23213</v>
      </c>
      <c r="M70" s="32" t="s">
        <v>140</v>
      </c>
      <c r="N70" s="32">
        <v>60</v>
      </c>
      <c r="O70" s="32">
        <v>50</v>
      </c>
    </row>
    <row r="71" spans="12:15" x14ac:dyDescent="0.2">
      <c r="L71" s="32">
        <v>23687</v>
      </c>
      <c r="M71" s="32" t="s">
        <v>13</v>
      </c>
      <c r="N71" s="32">
        <v>50</v>
      </c>
      <c r="O71" s="32">
        <v>30</v>
      </c>
    </row>
    <row r="72" spans="12:15" x14ac:dyDescent="0.2">
      <c r="L72" s="32">
        <v>23999</v>
      </c>
      <c r="M72" s="32" t="s">
        <v>272</v>
      </c>
      <c r="N72" s="32">
        <v>50</v>
      </c>
      <c r="O72" s="32">
        <v>30</v>
      </c>
    </row>
    <row r="73" spans="12:15" x14ac:dyDescent="0.2">
      <c r="L73" s="32">
        <v>24556</v>
      </c>
      <c r="M73" s="32" t="s">
        <v>135</v>
      </c>
      <c r="N73" s="32">
        <v>70</v>
      </c>
      <c r="O73" s="32">
        <v>40</v>
      </c>
    </row>
    <row r="74" spans="12:15" x14ac:dyDescent="0.2">
      <c r="L74" s="32">
        <v>24662</v>
      </c>
      <c r="M74" s="32" t="s">
        <v>242</v>
      </c>
      <c r="N74" s="32">
        <v>50</v>
      </c>
      <c r="O74" s="32">
        <v>30</v>
      </c>
    </row>
    <row r="75" spans="12:15" x14ac:dyDescent="0.2">
      <c r="L75" s="32">
        <v>24816</v>
      </c>
      <c r="M75" s="32" t="s">
        <v>20</v>
      </c>
      <c r="N75" s="32">
        <v>80</v>
      </c>
      <c r="O75" s="32">
        <v>50</v>
      </c>
    </row>
    <row r="76" spans="12:15" x14ac:dyDescent="0.2">
      <c r="L76" s="32">
        <v>25587</v>
      </c>
      <c r="M76" s="32" t="s">
        <v>216</v>
      </c>
      <c r="N76" s="32">
        <v>90</v>
      </c>
      <c r="O76" s="32">
        <v>30</v>
      </c>
    </row>
    <row r="77" spans="12:15" x14ac:dyDescent="0.2">
      <c r="L77" s="32">
        <v>25705</v>
      </c>
      <c r="M77" s="32" t="s">
        <v>80</v>
      </c>
      <c r="N77" s="32">
        <v>80</v>
      </c>
      <c r="O77" s="32">
        <v>50</v>
      </c>
    </row>
    <row r="78" spans="12:15" x14ac:dyDescent="0.2">
      <c r="L78" s="32">
        <v>26427</v>
      </c>
      <c r="M78" s="32" t="s">
        <v>147</v>
      </c>
      <c r="N78" s="32">
        <v>50</v>
      </c>
      <c r="O78" s="32">
        <v>45</v>
      </c>
    </row>
    <row r="79" spans="12:15" x14ac:dyDescent="0.2">
      <c r="L79" s="32">
        <v>26516</v>
      </c>
      <c r="M79" s="32" t="s">
        <v>21</v>
      </c>
      <c r="N79" s="32">
        <v>60</v>
      </c>
      <c r="O79" s="32">
        <v>30</v>
      </c>
    </row>
    <row r="80" spans="12:15" x14ac:dyDescent="0.2">
      <c r="L80" s="32">
        <v>26930</v>
      </c>
      <c r="M80" s="32" t="s">
        <v>247</v>
      </c>
      <c r="N80" s="32">
        <v>60</v>
      </c>
      <c r="O80" s="32">
        <v>35</v>
      </c>
    </row>
    <row r="81" spans="12:15" x14ac:dyDescent="0.2">
      <c r="L81" s="32">
        <v>27906</v>
      </c>
      <c r="M81" s="32" t="s">
        <v>38</v>
      </c>
      <c r="N81" s="32">
        <v>60</v>
      </c>
      <c r="O81" s="32">
        <v>45</v>
      </c>
    </row>
    <row r="82" spans="12:15" x14ac:dyDescent="0.2">
      <c r="L82" s="32">
        <v>28476</v>
      </c>
      <c r="M82" s="32" t="s">
        <v>195</v>
      </c>
      <c r="N82" s="32">
        <v>60</v>
      </c>
      <c r="O82" s="32">
        <v>40</v>
      </c>
    </row>
    <row r="83" spans="12:15" x14ac:dyDescent="0.2">
      <c r="L83" s="32">
        <v>29309</v>
      </c>
      <c r="M83" s="32" t="s">
        <v>203</v>
      </c>
      <c r="N83" s="32">
        <v>90</v>
      </c>
      <c r="O83" s="32">
        <v>50</v>
      </c>
    </row>
    <row r="84" spans="12:15" x14ac:dyDescent="0.2">
      <c r="L84" s="32">
        <v>30102</v>
      </c>
      <c r="M84" s="32" t="s">
        <v>48</v>
      </c>
      <c r="N84" s="32">
        <v>70</v>
      </c>
      <c r="O84" s="32">
        <v>35</v>
      </c>
    </row>
    <row r="85" spans="12:15" x14ac:dyDescent="0.2">
      <c r="L85" s="32">
        <v>30355</v>
      </c>
      <c r="M85" s="32" t="s">
        <v>235</v>
      </c>
      <c r="N85" s="32">
        <v>90</v>
      </c>
      <c r="O85" s="32">
        <v>35</v>
      </c>
    </row>
    <row r="86" spans="12:15" x14ac:dyDescent="0.2">
      <c r="L86" s="32">
        <v>30550</v>
      </c>
      <c r="M86" s="32" t="s">
        <v>211</v>
      </c>
      <c r="N86" s="32">
        <v>60</v>
      </c>
      <c r="O86" s="32">
        <v>50</v>
      </c>
    </row>
    <row r="87" spans="12:15" x14ac:dyDescent="0.2">
      <c r="L87" s="32">
        <v>30952</v>
      </c>
      <c r="M87" s="32" t="s">
        <v>28</v>
      </c>
      <c r="N87" s="32">
        <v>50</v>
      </c>
      <c r="O87" s="32">
        <v>45</v>
      </c>
    </row>
    <row r="88" spans="12:15" x14ac:dyDescent="0.2">
      <c r="L88" s="32">
        <v>31569</v>
      </c>
      <c r="M88" s="32" t="s">
        <v>31</v>
      </c>
      <c r="N88" s="32">
        <v>90</v>
      </c>
      <c r="O88" s="32">
        <v>30</v>
      </c>
    </row>
    <row r="89" spans="12:15" x14ac:dyDescent="0.2">
      <c r="L89" s="32">
        <v>32446</v>
      </c>
      <c r="M89" s="32" t="s">
        <v>205</v>
      </c>
      <c r="N89" s="32">
        <v>60</v>
      </c>
      <c r="O89" s="32">
        <v>50</v>
      </c>
    </row>
    <row r="90" spans="12:15" x14ac:dyDescent="0.2">
      <c r="L90" s="32">
        <v>32518</v>
      </c>
      <c r="M90" s="32" t="s">
        <v>245</v>
      </c>
      <c r="N90" s="32">
        <v>50</v>
      </c>
      <c r="O90" s="32">
        <v>50</v>
      </c>
    </row>
    <row r="91" spans="12:15" x14ac:dyDescent="0.2">
      <c r="L91" s="32">
        <v>32846</v>
      </c>
      <c r="M91" s="32" t="s">
        <v>127</v>
      </c>
      <c r="N91" s="32">
        <v>50</v>
      </c>
      <c r="O91" s="32">
        <v>50</v>
      </c>
    </row>
    <row r="92" spans="12:15" x14ac:dyDescent="0.2">
      <c r="L92" s="32">
        <v>32915</v>
      </c>
      <c r="M92" s="32" t="s">
        <v>84</v>
      </c>
      <c r="N92" s="32">
        <v>60</v>
      </c>
      <c r="O92" s="32">
        <v>35</v>
      </c>
    </row>
    <row r="93" spans="12:15" x14ac:dyDescent="0.2">
      <c r="L93" s="32">
        <v>33732</v>
      </c>
      <c r="M93" s="32" t="s">
        <v>274</v>
      </c>
      <c r="N93" s="32">
        <v>90</v>
      </c>
      <c r="O93" s="32">
        <v>40</v>
      </c>
    </row>
    <row r="94" spans="12:15" x14ac:dyDescent="0.2">
      <c r="L94" s="32">
        <v>34055</v>
      </c>
      <c r="M94" s="32" t="s">
        <v>238</v>
      </c>
      <c r="N94" s="32">
        <v>90</v>
      </c>
      <c r="O94" s="32">
        <v>30</v>
      </c>
    </row>
    <row r="95" spans="12:15" x14ac:dyDescent="0.2">
      <c r="L95" s="32">
        <v>34179</v>
      </c>
      <c r="M95" s="32" t="s">
        <v>128</v>
      </c>
      <c r="N95" s="32">
        <v>90</v>
      </c>
      <c r="O95" s="32">
        <v>35</v>
      </c>
    </row>
    <row r="96" spans="12:15" x14ac:dyDescent="0.2">
      <c r="L96" s="32">
        <v>34285</v>
      </c>
      <c r="M96" s="32" t="s">
        <v>104</v>
      </c>
      <c r="N96" s="32">
        <v>70</v>
      </c>
      <c r="O96" s="32">
        <v>40</v>
      </c>
    </row>
    <row r="97" spans="12:15" x14ac:dyDescent="0.2">
      <c r="L97" s="32">
        <v>34305</v>
      </c>
      <c r="M97" s="32" t="s">
        <v>227</v>
      </c>
      <c r="N97" s="32">
        <v>80</v>
      </c>
      <c r="O97" s="32">
        <v>30</v>
      </c>
    </row>
    <row r="98" spans="12:15" x14ac:dyDescent="0.2">
      <c r="L98" s="32">
        <v>34336</v>
      </c>
      <c r="M98" s="32" t="s">
        <v>32</v>
      </c>
      <c r="N98" s="32">
        <v>90</v>
      </c>
      <c r="O98" s="32">
        <v>50</v>
      </c>
    </row>
    <row r="99" spans="12:15" x14ac:dyDescent="0.2">
      <c r="L99" s="32">
        <v>34471</v>
      </c>
      <c r="M99" s="32" t="s">
        <v>297</v>
      </c>
      <c r="N99" s="32">
        <v>50</v>
      </c>
      <c r="O99" s="32">
        <v>50</v>
      </c>
    </row>
    <row r="100" spans="12:15" x14ac:dyDescent="0.2">
      <c r="L100" s="32">
        <v>34813</v>
      </c>
      <c r="M100" s="32" t="s">
        <v>275</v>
      </c>
      <c r="N100" s="32">
        <v>80</v>
      </c>
      <c r="O100" s="32">
        <v>30</v>
      </c>
    </row>
    <row r="101" spans="12:15" x14ac:dyDescent="0.2">
      <c r="L101" s="32">
        <v>35054</v>
      </c>
      <c r="M101" s="32" t="s">
        <v>262</v>
      </c>
      <c r="N101" s="32">
        <v>50</v>
      </c>
      <c r="O101" s="32">
        <v>45</v>
      </c>
    </row>
    <row r="102" spans="12:15" x14ac:dyDescent="0.2">
      <c r="L102" s="32">
        <v>35337</v>
      </c>
      <c r="M102" s="32" t="s">
        <v>282</v>
      </c>
      <c r="N102" s="32">
        <v>50</v>
      </c>
      <c r="O102" s="32">
        <v>35</v>
      </c>
    </row>
    <row r="103" spans="12:15" x14ac:dyDescent="0.2">
      <c r="L103" s="32">
        <v>35454</v>
      </c>
      <c r="M103" s="32" t="s">
        <v>86</v>
      </c>
      <c r="N103" s="32">
        <v>80</v>
      </c>
      <c r="O103" s="32">
        <v>40</v>
      </c>
    </row>
    <row r="104" spans="12:15" x14ac:dyDescent="0.2">
      <c r="L104" s="32">
        <v>36074</v>
      </c>
      <c r="M104" s="32" t="s">
        <v>138</v>
      </c>
      <c r="N104" s="32">
        <v>70</v>
      </c>
      <c r="O104" s="32">
        <v>45</v>
      </c>
    </row>
    <row r="105" spans="12:15" x14ac:dyDescent="0.2">
      <c r="L105" s="32">
        <v>36357</v>
      </c>
      <c r="M105" s="32" t="s">
        <v>278</v>
      </c>
      <c r="N105" s="32">
        <v>80</v>
      </c>
      <c r="O105" s="32">
        <v>50</v>
      </c>
    </row>
    <row r="106" spans="12:15" x14ac:dyDescent="0.2">
      <c r="L106" s="32">
        <v>36380</v>
      </c>
      <c r="M106" s="32" t="s">
        <v>93</v>
      </c>
      <c r="N106" s="32">
        <v>60</v>
      </c>
      <c r="O106" s="32">
        <v>50</v>
      </c>
    </row>
    <row r="107" spans="12:15" x14ac:dyDescent="0.2">
      <c r="L107" s="32">
        <v>36497</v>
      </c>
      <c r="M107" s="32" t="s">
        <v>151</v>
      </c>
      <c r="N107" s="32">
        <v>60</v>
      </c>
      <c r="O107" s="32">
        <v>50</v>
      </c>
    </row>
    <row r="108" spans="12:15" x14ac:dyDescent="0.2">
      <c r="L108" s="32">
        <v>37108</v>
      </c>
      <c r="M108" s="32" t="s">
        <v>14</v>
      </c>
      <c r="N108" s="32">
        <v>70</v>
      </c>
      <c r="O108" s="32">
        <v>35</v>
      </c>
    </row>
    <row r="109" spans="12:15" x14ac:dyDescent="0.2">
      <c r="L109" s="32">
        <v>37124</v>
      </c>
      <c r="M109" s="32" t="s">
        <v>175</v>
      </c>
      <c r="N109" s="32">
        <v>70</v>
      </c>
      <c r="O109" s="32">
        <v>35</v>
      </c>
    </row>
    <row r="110" spans="12:15" x14ac:dyDescent="0.2">
      <c r="L110" s="32">
        <v>37363</v>
      </c>
      <c r="M110" s="32" t="s">
        <v>284</v>
      </c>
      <c r="N110" s="32">
        <v>90</v>
      </c>
      <c r="O110" s="32">
        <v>30</v>
      </c>
    </row>
    <row r="111" spans="12:15" x14ac:dyDescent="0.2">
      <c r="L111" s="32">
        <v>37530</v>
      </c>
      <c r="M111" s="32" t="s">
        <v>239</v>
      </c>
      <c r="N111" s="32">
        <v>90</v>
      </c>
      <c r="O111" s="32">
        <v>35</v>
      </c>
    </row>
    <row r="112" spans="12:15" x14ac:dyDescent="0.2">
      <c r="L112" s="32">
        <v>37563</v>
      </c>
      <c r="M112" s="32" t="s">
        <v>279</v>
      </c>
      <c r="N112" s="32">
        <v>50</v>
      </c>
      <c r="O112" s="32">
        <v>40</v>
      </c>
    </row>
    <row r="113" spans="12:15" x14ac:dyDescent="0.2">
      <c r="L113" s="32">
        <v>37585</v>
      </c>
      <c r="M113" s="32" t="s">
        <v>68</v>
      </c>
      <c r="N113" s="32">
        <v>50</v>
      </c>
      <c r="O113" s="32">
        <v>30</v>
      </c>
    </row>
    <row r="114" spans="12:15" x14ac:dyDescent="0.2">
      <c r="L114" s="32">
        <v>37791</v>
      </c>
      <c r="M114" s="32" t="s">
        <v>231</v>
      </c>
      <c r="N114" s="32">
        <v>70</v>
      </c>
      <c r="O114" s="32">
        <v>35</v>
      </c>
    </row>
    <row r="115" spans="12:15" x14ac:dyDescent="0.2">
      <c r="L115" s="32">
        <v>37948</v>
      </c>
      <c r="M115" s="32" t="s">
        <v>69</v>
      </c>
      <c r="N115" s="32">
        <v>50</v>
      </c>
      <c r="O115" s="32">
        <v>35</v>
      </c>
    </row>
    <row r="116" spans="12:15" x14ac:dyDescent="0.2">
      <c r="L116" s="32">
        <v>38113</v>
      </c>
      <c r="M116" s="32" t="s">
        <v>213</v>
      </c>
      <c r="N116" s="32">
        <v>90</v>
      </c>
      <c r="O116" s="32">
        <v>45</v>
      </c>
    </row>
    <row r="117" spans="12:15" x14ac:dyDescent="0.2">
      <c r="L117" s="32">
        <v>38235</v>
      </c>
      <c r="M117" s="32" t="s">
        <v>62</v>
      </c>
      <c r="N117" s="32">
        <v>60</v>
      </c>
      <c r="O117" s="32">
        <v>30</v>
      </c>
    </row>
    <row r="118" spans="12:15" x14ac:dyDescent="0.2">
      <c r="L118" s="32">
        <v>38304</v>
      </c>
      <c r="M118" s="32" t="s">
        <v>286</v>
      </c>
      <c r="N118" s="32">
        <v>80</v>
      </c>
      <c r="O118" s="32">
        <v>40</v>
      </c>
    </row>
    <row r="119" spans="12:15" x14ac:dyDescent="0.2">
      <c r="L119" s="32">
        <v>38536</v>
      </c>
      <c r="M119" s="32" t="s">
        <v>99</v>
      </c>
      <c r="N119" s="32">
        <v>90</v>
      </c>
      <c r="O119" s="32">
        <v>50</v>
      </c>
    </row>
    <row r="120" spans="12:15" x14ac:dyDescent="0.2">
      <c r="L120" s="32">
        <v>38982</v>
      </c>
      <c r="M120" s="32" t="s">
        <v>119</v>
      </c>
      <c r="N120" s="32">
        <v>80</v>
      </c>
      <c r="O120" s="32">
        <v>40</v>
      </c>
    </row>
    <row r="121" spans="12:15" x14ac:dyDescent="0.2">
      <c r="L121" s="32">
        <v>39486</v>
      </c>
      <c r="M121" s="32" t="s">
        <v>21</v>
      </c>
      <c r="N121" s="32">
        <v>60</v>
      </c>
      <c r="O121" s="32">
        <v>40</v>
      </c>
    </row>
    <row r="122" spans="12:15" x14ac:dyDescent="0.2">
      <c r="L122" s="32">
        <v>39636</v>
      </c>
      <c r="M122" s="32" t="s">
        <v>136</v>
      </c>
      <c r="N122" s="32">
        <v>80</v>
      </c>
      <c r="O122" s="32">
        <v>50</v>
      </c>
    </row>
    <row r="123" spans="12:15" x14ac:dyDescent="0.2">
      <c r="L123" s="32">
        <v>40484</v>
      </c>
      <c r="M123" s="32" t="s">
        <v>101</v>
      </c>
      <c r="N123" s="32">
        <v>80</v>
      </c>
      <c r="O123" s="32">
        <v>35</v>
      </c>
    </row>
    <row r="124" spans="12:15" x14ac:dyDescent="0.2">
      <c r="L124" s="32">
        <v>40509</v>
      </c>
      <c r="M124" s="32" t="s">
        <v>251</v>
      </c>
      <c r="N124" s="32">
        <v>60</v>
      </c>
      <c r="O124" s="32">
        <v>30</v>
      </c>
    </row>
    <row r="125" spans="12:15" x14ac:dyDescent="0.2">
      <c r="L125" s="32">
        <v>40630</v>
      </c>
      <c r="M125" s="32" t="s">
        <v>131</v>
      </c>
      <c r="N125" s="32">
        <v>80</v>
      </c>
      <c r="O125" s="32">
        <v>50</v>
      </c>
    </row>
    <row r="126" spans="12:15" x14ac:dyDescent="0.2">
      <c r="L126" s="32">
        <v>40687</v>
      </c>
      <c r="M126" s="32" t="s">
        <v>47</v>
      </c>
      <c r="N126" s="32">
        <v>70</v>
      </c>
      <c r="O126" s="32">
        <v>35</v>
      </c>
    </row>
    <row r="127" spans="12:15" x14ac:dyDescent="0.2">
      <c r="L127" s="32">
        <v>41085</v>
      </c>
      <c r="M127" s="32" t="s">
        <v>272</v>
      </c>
      <c r="N127" s="32">
        <v>60</v>
      </c>
      <c r="O127" s="32">
        <v>50</v>
      </c>
    </row>
    <row r="128" spans="12:15" x14ac:dyDescent="0.2">
      <c r="L128" s="32">
        <v>41088</v>
      </c>
      <c r="M128" s="32" t="s">
        <v>222</v>
      </c>
      <c r="N128" s="32">
        <v>90</v>
      </c>
      <c r="O128" s="32">
        <v>40</v>
      </c>
    </row>
    <row r="129" spans="12:15" x14ac:dyDescent="0.2">
      <c r="L129" s="32">
        <v>41121</v>
      </c>
      <c r="M129" s="32" t="s">
        <v>295</v>
      </c>
      <c r="N129" s="32">
        <v>50</v>
      </c>
      <c r="O129" s="32">
        <v>40</v>
      </c>
    </row>
    <row r="130" spans="12:15" x14ac:dyDescent="0.2">
      <c r="L130" s="32">
        <v>41293</v>
      </c>
      <c r="M130" s="32" t="s">
        <v>76</v>
      </c>
      <c r="N130" s="32">
        <v>80</v>
      </c>
      <c r="O130" s="32">
        <v>30</v>
      </c>
    </row>
    <row r="131" spans="12:15" x14ac:dyDescent="0.2">
      <c r="L131" s="32">
        <v>41501</v>
      </c>
      <c r="M131" s="32" t="s">
        <v>66</v>
      </c>
      <c r="N131" s="32">
        <v>50</v>
      </c>
      <c r="O131" s="32">
        <v>35</v>
      </c>
    </row>
    <row r="132" spans="12:15" x14ac:dyDescent="0.2">
      <c r="L132" s="32">
        <v>41583</v>
      </c>
      <c r="M132" s="32" t="s">
        <v>258</v>
      </c>
      <c r="N132" s="32">
        <v>60</v>
      </c>
      <c r="O132" s="32">
        <v>45</v>
      </c>
    </row>
    <row r="133" spans="12:15" x14ac:dyDescent="0.2">
      <c r="L133" s="32">
        <v>41826</v>
      </c>
      <c r="M133" s="32" t="s">
        <v>230</v>
      </c>
      <c r="N133" s="32">
        <v>80</v>
      </c>
      <c r="O133" s="32">
        <v>45</v>
      </c>
    </row>
    <row r="134" spans="12:15" x14ac:dyDescent="0.2">
      <c r="L134" s="32">
        <v>41953</v>
      </c>
      <c r="M134" s="32" t="s">
        <v>176</v>
      </c>
      <c r="N134" s="32">
        <v>90</v>
      </c>
      <c r="O134" s="32">
        <v>50</v>
      </c>
    </row>
    <row r="135" spans="12:15" x14ac:dyDescent="0.2">
      <c r="L135" s="32">
        <v>42319</v>
      </c>
      <c r="M135" s="32" t="s">
        <v>189</v>
      </c>
      <c r="N135" s="32">
        <v>90</v>
      </c>
      <c r="O135" s="32">
        <v>35</v>
      </c>
    </row>
    <row r="136" spans="12:15" x14ac:dyDescent="0.2">
      <c r="L136" s="32">
        <v>42374</v>
      </c>
      <c r="M136" s="32" t="s">
        <v>73</v>
      </c>
      <c r="N136" s="32">
        <v>70</v>
      </c>
      <c r="O136" s="32">
        <v>35</v>
      </c>
    </row>
    <row r="137" spans="12:15" x14ac:dyDescent="0.2">
      <c r="L137" s="32">
        <v>42874</v>
      </c>
      <c r="M137" s="32" t="s">
        <v>170</v>
      </c>
      <c r="N137" s="32">
        <v>80</v>
      </c>
      <c r="O137" s="32">
        <v>35</v>
      </c>
    </row>
    <row r="138" spans="12:15" x14ac:dyDescent="0.2">
      <c r="L138" s="32">
        <v>42944</v>
      </c>
      <c r="M138" s="32" t="s">
        <v>87</v>
      </c>
      <c r="N138" s="32">
        <v>50</v>
      </c>
      <c r="O138" s="32">
        <v>50</v>
      </c>
    </row>
    <row r="139" spans="12:15" x14ac:dyDescent="0.2">
      <c r="L139" s="32">
        <v>43369</v>
      </c>
      <c r="M139" s="32" t="s">
        <v>50</v>
      </c>
      <c r="N139" s="32">
        <v>70</v>
      </c>
      <c r="O139" s="32">
        <v>30</v>
      </c>
    </row>
    <row r="140" spans="12:15" x14ac:dyDescent="0.2">
      <c r="L140" s="32">
        <v>43398</v>
      </c>
      <c r="M140" s="32" t="s">
        <v>285</v>
      </c>
      <c r="N140" s="32">
        <v>60</v>
      </c>
      <c r="O140" s="32">
        <v>40</v>
      </c>
    </row>
    <row r="141" spans="12:15" x14ac:dyDescent="0.2">
      <c r="L141" s="32">
        <v>43550</v>
      </c>
      <c r="M141" s="32" t="s">
        <v>224</v>
      </c>
      <c r="N141" s="32">
        <v>90</v>
      </c>
      <c r="O141" s="32">
        <v>40</v>
      </c>
    </row>
    <row r="142" spans="12:15" x14ac:dyDescent="0.2">
      <c r="L142" s="32">
        <v>43751</v>
      </c>
      <c r="M142" s="32" t="s">
        <v>283</v>
      </c>
      <c r="N142" s="32">
        <v>80</v>
      </c>
      <c r="O142" s="32">
        <v>45</v>
      </c>
    </row>
    <row r="143" spans="12:15" x14ac:dyDescent="0.2">
      <c r="L143" s="32">
        <v>43933</v>
      </c>
      <c r="M143" s="32" t="s">
        <v>56</v>
      </c>
      <c r="N143" s="32">
        <v>80</v>
      </c>
      <c r="O143" s="32">
        <v>45</v>
      </c>
    </row>
    <row r="144" spans="12:15" x14ac:dyDescent="0.2">
      <c r="L144" s="32">
        <v>43960</v>
      </c>
      <c r="M144" s="32" t="s">
        <v>161</v>
      </c>
      <c r="N144" s="32">
        <v>50</v>
      </c>
      <c r="O144" s="32">
        <v>40</v>
      </c>
    </row>
    <row r="145" spans="12:15" x14ac:dyDescent="0.2">
      <c r="L145" s="32">
        <v>44165</v>
      </c>
      <c r="M145" s="32" t="s">
        <v>163</v>
      </c>
      <c r="N145" s="32">
        <v>60</v>
      </c>
      <c r="O145" s="32">
        <v>40</v>
      </c>
    </row>
    <row r="146" spans="12:15" x14ac:dyDescent="0.2">
      <c r="L146" s="32">
        <v>44193</v>
      </c>
      <c r="M146" s="32" t="s">
        <v>120</v>
      </c>
      <c r="N146" s="32">
        <v>80</v>
      </c>
      <c r="O146" s="32">
        <v>35</v>
      </c>
    </row>
    <row r="147" spans="12:15" x14ac:dyDescent="0.2">
      <c r="L147" s="32">
        <v>44457</v>
      </c>
      <c r="M147" s="32" t="s">
        <v>197</v>
      </c>
      <c r="N147" s="32">
        <v>80</v>
      </c>
      <c r="O147" s="32">
        <v>40</v>
      </c>
    </row>
    <row r="148" spans="12:15" x14ac:dyDescent="0.2">
      <c r="L148" s="32">
        <v>44500</v>
      </c>
      <c r="M148" s="32" t="s">
        <v>268</v>
      </c>
      <c r="N148" s="32">
        <v>80</v>
      </c>
      <c r="O148" s="32">
        <v>40</v>
      </c>
    </row>
    <row r="149" spans="12:15" x14ac:dyDescent="0.2">
      <c r="L149" s="32">
        <v>44557</v>
      </c>
      <c r="M149" s="32" t="s">
        <v>40</v>
      </c>
      <c r="N149" s="32">
        <v>60</v>
      </c>
      <c r="O149" s="32">
        <v>45</v>
      </c>
    </row>
    <row r="150" spans="12:15" x14ac:dyDescent="0.2">
      <c r="L150" s="32">
        <v>44642</v>
      </c>
      <c r="M150" s="32" t="s">
        <v>232</v>
      </c>
      <c r="N150" s="32">
        <v>50</v>
      </c>
      <c r="O150" s="32">
        <v>30</v>
      </c>
    </row>
    <row r="151" spans="12:15" x14ac:dyDescent="0.2">
      <c r="L151" s="32">
        <v>44868</v>
      </c>
      <c r="M151" s="32" t="s">
        <v>83</v>
      </c>
      <c r="N151" s="32">
        <v>70</v>
      </c>
      <c r="O151" s="32">
        <v>45</v>
      </c>
    </row>
    <row r="152" spans="12:15" x14ac:dyDescent="0.2">
      <c r="L152" s="32">
        <v>45016</v>
      </c>
      <c r="M152" s="32" t="s">
        <v>164</v>
      </c>
      <c r="N152" s="32">
        <v>50</v>
      </c>
      <c r="O152" s="32">
        <v>35</v>
      </c>
    </row>
    <row r="153" spans="12:15" x14ac:dyDescent="0.2">
      <c r="L153" s="32">
        <v>45239</v>
      </c>
      <c r="M153" s="32" t="s">
        <v>244</v>
      </c>
      <c r="N153" s="32">
        <v>60</v>
      </c>
      <c r="O153" s="32">
        <v>35</v>
      </c>
    </row>
    <row r="154" spans="12:15" x14ac:dyDescent="0.2">
      <c r="L154" s="32">
        <v>45738</v>
      </c>
      <c r="M154" s="32" t="s">
        <v>172</v>
      </c>
      <c r="N154" s="32">
        <v>80</v>
      </c>
      <c r="O154" s="32">
        <v>45</v>
      </c>
    </row>
    <row r="155" spans="12:15" x14ac:dyDescent="0.2">
      <c r="L155" s="32">
        <v>45855</v>
      </c>
      <c r="M155" s="32" t="s">
        <v>39</v>
      </c>
      <c r="N155" s="32">
        <v>90</v>
      </c>
      <c r="O155" s="32">
        <v>45</v>
      </c>
    </row>
    <row r="156" spans="12:15" x14ac:dyDescent="0.2">
      <c r="L156" s="32">
        <v>46213</v>
      </c>
      <c r="M156" s="32" t="s">
        <v>114</v>
      </c>
      <c r="N156" s="32">
        <v>80</v>
      </c>
      <c r="O156" s="32">
        <v>35</v>
      </c>
    </row>
    <row r="157" spans="12:15" x14ac:dyDescent="0.2">
      <c r="L157" s="32">
        <v>46474</v>
      </c>
      <c r="M157" s="32" t="s">
        <v>190</v>
      </c>
      <c r="N157" s="32">
        <v>80</v>
      </c>
      <c r="O157" s="32">
        <v>35</v>
      </c>
    </row>
    <row r="158" spans="12:15" x14ac:dyDescent="0.2">
      <c r="L158" s="32">
        <v>46989</v>
      </c>
      <c r="M158" s="32" t="s">
        <v>165</v>
      </c>
      <c r="N158" s="32">
        <v>90</v>
      </c>
      <c r="O158" s="32">
        <v>30</v>
      </c>
    </row>
    <row r="159" spans="12:15" x14ac:dyDescent="0.2">
      <c r="L159" s="32">
        <v>47249</v>
      </c>
      <c r="M159" s="32" t="s">
        <v>89</v>
      </c>
      <c r="N159" s="32">
        <v>90</v>
      </c>
      <c r="O159" s="32">
        <v>30</v>
      </c>
    </row>
    <row r="160" spans="12:15" x14ac:dyDescent="0.2">
      <c r="L160" s="32">
        <v>47464</v>
      </c>
      <c r="M160" s="32" t="s">
        <v>130</v>
      </c>
      <c r="N160" s="32">
        <v>50</v>
      </c>
      <c r="O160" s="32">
        <v>35</v>
      </c>
    </row>
    <row r="161" spans="12:15" x14ac:dyDescent="0.2">
      <c r="L161" s="32">
        <v>47614</v>
      </c>
      <c r="M161" s="32" t="s">
        <v>150</v>
      </c>
      <c r="N161" s="32">
        <v>50</v>
      </c>
      <c r="O161" s="32">
        <v>45</v>
      </c>
    </row>
    <row r="162" spans="12:15" x14ac:dyDescent="0.2">
      <c r="L162" s="32">
        <v>48078</v>
      </c>
      <c r="M162" s="32" t="s">
        <v>226</v>
      </c>
      <c r="N162" s="32">
        <v>70</v>
      </c>
      <c r="O162" s="32">
        <v>50</v>
      </c>
    </row>
    <row r="163" spans="12:15" x14ac:dyDescent="0.2">
      <c r="L163" s="32">
        <v>48113</v>
      </c>
      <c r="M163" s="32" t="s">
        <v>89</v>
      </c>
      <c r="N163" s="32">
        <v>90</v>
      </c>
      <c r="O163" s="32">
        <v>45</v>
      </c>
    </row>
    <row r="164" spans="12:15" x14ac:dyDescent="0.2">
      <c r="L164" s="32">
        <v>48127</v>
      </c>
      <c r="M164" s="32" t="s">
        <v>57</v>
      </c>
      <c r="N164" s="32">
        <v>70</v>
      </c>
      <c r="O164" s="32">
        <v>35</v>
      </c>
    </row>
    <row r="165" spans="12:15" x14ac:dyDescent="0.2">
      <c r="L165" s="32">
        <v>48150</v>
      </c>
      <c r="M165" s="32" t="s">
        <v>121</v>
      </c>
      <c r="N165" s="32">
        <v>70</v>
      </c>
      <c r="O165" s="32">
        <v>40</v>
      </c>
    </row>
    <row r="166" spans="12:15" x14ac:dyDescent="0.2">
      <c r="L166" s="32">
        <v>48264</v>
      </c>
      <c r="M166" s="32" t="s">
        <v>41</v>
      </c>
      <c r="N166" s="32">
        <v>70</v>
      </c>
      <c r="O166" s="32">
        <v>30</v>
      </c>
    </row>
    <row r="167" spans="12:15" x14ac:dyDescent="0.2">
      <c r="L167" s="32">
        <v>48433</v>
      </c>
      <c r="M167" s="32" t="s">
        <v>181</v>
      </c>
      <c r="N167" s="32">
        <v>70</v>
      </c>
      <c r="O167" s="32">
        <v>30</v>
      </c>
    </row>
    <row r="168" spans="12:15" x14ac:dyDescent="0.2">
      <c r="L168" s="32">
        <v>48601</v>
      </c>
      <c r="M168" s="32" t="s">
        <v>237</v>
      </c>
      <c r="N168" s="32">
        <v>70</v>
      </c>
      <c r="O168" s="32">
        <v>30</v>
      </c>
    </row>
    <row r="169" spans="12:15" x14ac:dyDescent="0.2">
      <c r="L169" s="32">
        <v>48906</v>
      </c>
      <c r="M169" s="32" t="s">
        <v>94</v>
      </c>
      <c r="N169" s="32">
        <v>80</v>
      </c>
      <c r="O169" s="32">
        <v>50</v>
      </c>
    </row>
    <row r="170" spans="12:15" x14ac:dyDescent="0.2">
      <c r="L170" s="32">
        <v>48921</v>
      </c>
      <c r="M170" s="32" t="s">
        <v>109</v>
      </c>
      <c r="N170" s="32">
        <v>60</v>
      </c>
      <c r="O170" s="32">
        <v>35</v>
      </c>
    </row>
    <row r="171" spans="12:15" x14ac:dyDescent="0.2">
      <c r="L171" s="32">
        <v>48999</v>
      </c>
      <c r="M171" s="32" t="s">
        <v>202</v>
      </c>
      <c r="N171" s="32">
        <v>60</v>
      </c>
      <c r="O171" s="32">
        <v>40</v>
      </c>
    </row>
    <row r="172" spans="12:15" x14ac:dyDescent="0.2">
      <c r="L172" s="32">
        <v>49123</v>
      </c>
      <c r="M172" s="32" t="s">
        <v>186</v>
      </c>
      <c r="N172" s="32">
        <v>70</v>
      </c>
      <c r="O172" s="32">
        <v>30</v>
      </c>
    </row>
    <row r="173" spans="12:15" x14ac:dyDescent="0.2">
      <c r="L173" s="32">
        <v>49413</v>
      </c>
      <c r="M173" s="32" t="s">
        <v>118</v>
      </c>
      <c r="N173" s="32">
        <v>60</v>
      </c>
      <c r="O173" s="32">
        <v>35</v>
      </c>
    </row>
    <row r="174" spans="12:15" x14ac:dyDescent="0.2">
      <c r="L174" s="32">
        <v>49457</v>
      </c>
      <c r="M174" s="32" t="s">
        <v>215</v>
      </c>
      <c r="N174" s="32">
        <v>90</v>
      </c>
      <c r="O174" s="32">
        <v>35</v>
      </c>
    </row>
    <row r="175" spans="12:15" x14ac:dyDescent="0.2">
      <c r="L175" s="32">
        <v>49468</v>
      </c>
      <c r="M175" s="32" t="s">
        <v>117</v>
      </c>
      <c r="N175" s="32">
        <v>80</v>
      </c>
      <c r="O175" s="32">
        <v>40</v>
      </c>
    </row>
    <row r="176" spans="12:15" x14ac:dyDescent="0.2">
      <c r="L176" s="32">
        <v>49484</v>
      </c>
      <c r="M176" s="32" t="s">
        <v>160</v>
      </c>
      <c r="N176" s="32">
        <v>70</v>
      </c>
      <c r="O176" s="32">
        <v>35</v>
      </c>
    </row>
    <row r="177" spans="12:15" x14ac:dyDescent="0.2">
      <c r="L177" s="32">
        <v>49555</v>
      </c>
      <c r="M177" s="32" t="s">
        <v>178</v>
      </c>
      <c r="N177" s="32">
        <v>90</v>
      </c>
      <c r="O177" s="32">
        <v>30</v>
      </c>
    </row>
    <row r="178" spans="12:15" x14ac:dyDescent="0.2">
      <c r="L178" s="32">
        <v>49873</v>
      </c>
      <c r="M178" s="32" t="s">
        <v>169</v>
      </c>
      <c r="N178" s="32">
        <v>70</v>
      </c>
      <c r="O178" s="32">
        <v>50</v>
      </c>
    </row>
    <row r="179" spans="12:15" x14ac:dyDescent="0.2">
      <c r="L179" s="32">
        <v>49886</v>
      </c>
      <c r="M179" s="32" t="s">
        <v>225</v>
      </c>
      <c r="N179" s="32">
        <v>80</v>
      </c>
      <c r="O179" s="32">
        <v>40</v>
      </c>
    </row>
    <row r="180" spans="12:15" x14ac:dyDescent="0.2">
      <c r="L180" s="32">
        <v>50612</v>
      </c>
      <c r="M180" s="32" t="s">
        <v>152</v>
      </c>
      <c r="N180" s="32">
        <v>90</v>
      </c>
      <c r="O180" s="32">
        <v>30</v>
      </c>
    </row>
    <row r="181" spans="12:15" x14ac:dyDescent="0.2">
      <c r="L181" s="32">
        <v>50684</v>
      </c>
      <c r="M181" s="32" t="s">
        <v>42</v>
      </c>
      <c r="N181" s="32">
        <v>60</v>
      </c>
      <c r="O181" s="32">
        <v>45</v>
      </c>
    </row>
    <row r="182" spans="12:15" x14ac:dyDescent="0.2">
      <c r="L182" s="32">
        <v>51129</v>
      </c>
      <c r="M182" s="32" t="s">
        <v>35</v>
      </c>
      <c r="N182" s="32">
        <v>60</v>
      </c>
      <c r="O182" s="32">
        <v>30</v>
      </c>
    </row>
    <row r="183" spans="12:15" x14ac:dyDescent="0.2">
      <c r="L183" s="32">
        <v>51674</v>
      </c>
      <c r="M183" s="32" t="s">
        <v>18</v>
      </c>
      <c r="N183" s="32">
        <v>50</v>
      </c>
      <c r="O183" s="32">
        <v>50</v>
      </c>
    </row>
    <row r="184" spans="12:15" x14ac:dyDescent="0.2">
      <c r="L184" s="32">
        <v>52122</v>
      </c>
      <c r="M184" s="32" t="s">
        <v>34</v>
      </c>
      <c r="N184" s="32">
        <v>60</v>
      </c>
      <c r="O184" s="32">
        <v>30</v>
      </c>
    </row>
    <row r="185" spans="12:15" x14ac:dyDescent="0.2">
      <c r="L185" s="32">
        <v>52172</v>
      </c>
      <c r="M185" s="32" t="s">
        <v>126</v>
      </c>
      <c r="N185" s="32">
        <v>50</v>
      </c>
      <c r="O185" s="32">
        <v>45</v>
      </c>
    </row>
    <row r="186" spans="12:15" x14ac:dyDescent="0.2">
      <c r="L186" s="32">
        <v>52837</v>
      </c>
      <c r="M186" s="32" t="s">
        <v>75</v>
      </c>
      <c r="N186" s="32">
        <v>90</v>
      </c>
      <c r="O186" s="32">
        <v>50</v>
      </c>
    </row>
    <row r="187" spans="12:15" x14ac:dyDescent="0.2">
      <c r="L187" s="32">
        <v>52934</v>
      </c>
      <c r="M187" s="32" t="s">
        <v>74</v>
      </c>
      <c r="N187" s="32">
        <v>70</v>
      </c>
      <c r="O187" s="32">
        <v>30</v>
      </c>
    </row>
    <row r="188" spans="12:15" x14ac:dyDescent="0.2">
      <c r="L188" s="32">
        <v>53082</v>
      </c>
      <c r="M188" s="32" t="s">
        <v>162</v>
      </c>
      <c r="N188" s="32">
        <v>50</v>
      </c>
      <c r="O188" s="32">
        <v>35</v>
      </c>
    </row>
    <row r="189" spans="12:15" x14ac:dyDescent="0.2">
      <c r="L189" s="32">
        <v>53106</v>
      </c>
      <c r="M189" s="32" t="s">
        <v>259</v>
      </c>
      <c r="N189" s="32">
        <v>90</v>
      </c>
      <c r="O189" s="32">
        <v>30</v>
      </c>
    </row>
    <row r="190" spans="12:15" x14ac:dyDescent="0.2">
      <c r="L190" s="32">
        <v>53238</v>
      </c>
      <c r="M190" s="32" t="s">
        <v>271</v>
      </c>
      <c r="N190" s="32">
        <v>70</v>
      </c>
      <c r="O190" s="32">
        <v>45</v>
      </c>
    </row>
    <row r="191" spans="12:15" x14ac:dyDescent="0.2">
      <c r="L191" s="32">
        <v>53401</v>
      </c>
      <c r="M191" s="32" t="s">
        <v>133</v>
      </c>
      <c r="N191" s="32">
        <v>50</v>
      </c>
      <c r="O191" s="32">
        <v>40</v>
      </c>
    </row>
    <row r="192" spans="12:15" x14ac:dyDescent="0.2">
      <c r="L192" s="32">
        <v>53408</v>
      </c>
      <c r="M192" s="32" t="s">
        <v>188</v>
      </c>
      <c r="N192" s="32">
        <v>60</v>
      </c>
      <c r="O192" s="32">
        <v>45</v>
      </c>
    </row>
    <row r="193" spans="12:15" x14ac:dyDescent="0.2">
      <c r="L193" s="32">
        <v>53654</v>
      </c>
      <c r="M193" s="32" t="s">
        <v>36</v>
      </c>
      <c r="N193" s="32">
        <v>80</v>
      </c>
      <c r="O193" s="32">
        <v>50</v>
      </c>
    </row>
    <row r="194" spans="12:15" x14ac:dyDescent="0.2">
      <c r="L194" s="32">
        <v>54258</v>
      </c>
      <c r="M194" s="32" t="s">
        <v>145</v>
      </c>
      <c r="N194" s="32">
        <v>50</v>
      </c>
      <c r="O194" s="32">
        <v>30</v>
      </c>
    </row>
    <row r="195" spans="12:15" x14ac:dyDescent="0.2">
      <c r="L195" s="32">
        <v>54641</v>
      </c>
      <c r="M195" s="32" t="s">
        <v>31</v>
      </c>
      <c r="N195" s="32">
        <v>60</v>
      </c>
      <c r="O195" s="32">
        <v>35</v>
      </c>
    </row>
    <row r="196" spans="12:15" x14ac:dyDescent="0.2">
      <c r="L196" s="32">
        <v>54709</v>
      </c>
      <c r="M196" s="32" t="s">
        <v>204</v>
      </c>
      <c r="N196" s="32">
        <v>90</v>
      </c>
      <c r="O196" s="32">
        <v>45</v>
      </c>
    </row>
    <row r="197" spans="12:15" x14ac:dyDescent="0.2">
      <c r="L197" s="32">
        <v>54861</v>
      </c>
      <c r="M197" s="32" t="s">
        <v>22</v>
      </c>
      <c r="N197" s="32">
        <v>80</v>
      </c>
      <c r="O197" s="32">
        <v>45</v>
      </c>
    </row>
    <row r="198" spans="12:15" x14ac:dyDescent="0.2">
      <c r="L198" s="32">
        <v>54989</v>
      </c>
      <c r="M198" s="32" t="s">
        <v>191</v>
      </c>
      <c r="N198" s="32">
        <v>90</v>
      </c>
      <c r="O198" s="32">
        <v>50</v>
      </c>
    </row>
    <row r="199" spans="12:15" x14ac:dyDescent="0.2">
      <c r="L199" s="32">
        <v>55134</v>
      </c>
      <c r="M199" s="32" t="s">
        <v>43</v>
      </c>
      <c r="N199" s="32">
        <v>50</v>
      </c>
      <c r="O199" s="32">
        <v>50</v>
      </c>
    </row>
    <row r="200" spans="12:15" x14ac:dyDescent="0.2">
      <c r="L200" s="32">
        <v>55450</v>
      </c>
      <c r="M200" s="32" t="s">
        <v>253</v>
      </c>
      <c r="N200" s="32">
        <v>80</v>
      </c>
      <c r="O200" s="32">
        <v>50</v>
      </c>
    </row>
    <row r="201" spans="12:15" x14ac:dyDescent="0.2">
      <c r="L201" s="32">
        <v>55575</v>
      </c>
      <c r="M201" s="32" t="s">
        <v>102</v>
      </c>
      <c r="N201" s="32">
        <v>60</v>
      </c>
      <c r="O201" s="32">
        <v>40</v>
      </c>
    </row>
    <row r="202" spans="12:15" x14ac:dyDescent="0.2">
      <c r="L202" s="32">
        <v>55849</v>
      </c>
      <c r="M202" s="32" t="s">
        <v>264</v>
      </c>
      <c r="N202" s="32">
        <v>60</v>
      </c>
      <c r="O202" s="32">
        <v>35</v>
      </c>
    </row>
    <row r="203" spans="12:15" x14ac:dyDescent="0.2">
      <c r="L203" s="32">
        <v>55856</v>
      </c>
      <c r="M203" s="32" t="s">
        <v>67</v>
      </c>
      <c r="N203" s="32">
        <v>80</v>
      </c>
      <c r="O203" s="32">
        <v>45</v>
      </c>
    </row>
    <row r="204" spans="12:15" x14ac:dyDescent="0.2">
      <c r="L204" s="32">
        <v>56701</v>
      </c>
      <c r="M204" s="32" t="s">
        <v>280</v>
      </c>
      <c r="N204" s="32">
        <v>80</v>
      </c>
      <c r="O204" s="32">
        <v>30</v>
      </c>
    </row>
    <row r="205" spans="12:15" x14ac:dyDescent="0.2">
      <c r="L205" s="32">
        <v>56961</v>
      </c>
      <c r="M205" s="32" t="s">
        <v>51</v>
      </c>
      <c r="N205" s="32">
        <v>50</v>
      </c>
      <c r="O205" s="32">
        <v>45</v>
      </c>
    </row>
    <row r="206" spans="12:15" x14ac:dyDescent="0.2">
      <c r="L206" s="32">
        <v>57025</v>
      </c>
      <c r="M206" s="32" t="s">
        <v>142</v>
      </c>
      <c r="N206" s="32">
        <v>70</v>
      </c>
      <c r="O206" s="32">
        <v>50</v>
      </c>
    </row>
    <row r="207" spans="12:15" x14ac:dyDescent="0.2">
      <c r="L207" s="32">
        <v>57032</v>
      </c>
      <c r="M207" s="32" t="s">
        <v>248</v>
      </c>
      <c r="N207" s="32">
        <v>90</v>
      </c>
      <c r="O207" s="32">
        <v>50</v>
      </c>
    </row>
    <row r="208" spans="12:15" x14ac:dyDescent="0.2">
      <c r="L208" s="32">
        <v>57402</v>
      </c>
      <c r="M208" s="32" t="s">
        <v>172</v>
      </c>
      <c r="N208" s="32">
        <v>50</v>
      </c>
      <c r="O208" s="32">
        <v>40</v>
      </c>
    </row>
    <row r="209" spans="12:15" x14ac:dyDescent="0.2">
      <c r="L209" s="32">
        <v>59325</v>
      </c>
      <c r="M209" s="32" t="s">
        <v>144</v>
      </c>
      <c r="N209" s="32">
        <v>80</v>
      </c>
      <c r="O209" s="32">
        <v>35</v>
      </c>
    </row>
    <row r="210" spans="12:15" x14ac:dyDescent="0.2">
      <c r="L210" s="32">
        <v>59364</v>
      </c>
      <c r="M210" s="32" t="s">
        <v>30</v>
      </c>
      <c r="N210" s="32">
        <v>90</v>
      </c>
      <c r="O210" s="32">
        <v>50</v>
      </c>
    </row>
    <row r="211" spans="12:15" x14ac:dyDescent="0.2">
      <c r="L211" s="32">
        <v>59728</v>
      </c>
      <c r="M211" s="32" t="s">
        <v>0</v>
      </c>
      <c r="N211" s="32">
        <v>90</v>
      </c>
      <c r="O211" s="32">
        <v>30</v>
      </c>
    </row>
    <row r="212" spans="12:15" x14ac:dyDescent="0.2">
      <c r="L212" s="32">
        <v>59751</v>
      </c>
      <c r="M212" s="32" t="s">
        <v>137</v>
      </c>
      <c r="N212" s="32">
        <v>60</v>
      </c>
      <c r="O212" s="32">
        <v>45</v>
      </c>
    </row>
    <row r="213" spans="12:15" x14ac:dyDescent="0.2">
      <c r="L213" s="32">
        <v>59787</v>
      </c>
      <c r="M213" s="32" t="s">
        <v>256</v>
      </c>
      <c r="N213" s="32">
        <v>80</v>
      </c>
      <c r="O213" s="32">
        <v>30</v>
      </c>
    </row>
    <row r="214" spans="12:15" x14ac:dyDescent="0.2">
      <c r="L214" s="32">
        <v>60043</v>
      </c>
      <c r="M214" s="32" t="s">
        <v>290</v>
      </c>
      <c r="N214" s="32">
        <v>50</v>
      </c>
      <c r="O214" s="32">
        <v>45</v>
      </c>
    </row>
    <row r="215" spans="12:15" x14ac:dyDescent="0.2">
      <c r="L215" s="32">
        <v>60552</v>
      </c>
      <c r="M215" s="32" t="s">
        <v>85</v>
      </c>
      <c r="N215" s="32">
        <v>80</v>
      </c>
      <c r="O215" s="32">
        <v>50</v>
      </c>
    </row>
    <row r="216" spans="12:15" x14ac:dyDescent="0.2">
      <c r="L216" s="32">
        <v>60622</v>
      </c>
      <c r="M216" s="32" t="s">
        <v>206</v>
      </c>
      <c r="N216" s="32">
        <v>80</v>
      </c>
      <c r="O216" s="32">
        <v>30</v>
      </c>
    </row>
    <row r="217" spans="12:15" x14ac:dyDescent="0.2">
      <c r="L217" s="32">
        <v>60839</v>
      </c>
      <c r="M217" s="32" t="s">
        <v>113</v>
      </c>
      <c r="N217" s="32">
        <v>90</v>
      </c>
      <c r="O217" s="32">
        <v>35</v>
      </c>
    </row>
    <row r="218" spans="12:15" x14ac:dyDescent="0.2">
      <c r="L218" s="32">
        <v>61031</v>
      </c>
      <c r="M218" s="32" t="s">
        <v>214</v>
      </c>
      <c r="N218" s="32">
        <v>70</v>
      </c>
      <c r="O218" s="32">
        <v>30</v>
      </c>
    </row>
    <row r="219" spans="12:15" x14ac:dyDescent="0.2">
      <c r="L219" s="32">
        <v>61276</v>
      </c>
      <c r="M219" s="32" t="s">
        <v>134</v>
      </c>
      <c r="N219" s="32">
        <v>70</v>
      </c>
      <c r="O219" s="32">
        <v>30</v>
      </c>
    </row>
    <row r="220" spans="12:15" x14ac:dyDescent="0.2">
      <c r="L220" s="32">
        <v>61552</v>
      </c>
      <c r="M220" s="32" t="s">
        <v>23</v>
      </c>
      <c r="N220" s="32">
        <v>90</v>
      </c>
      <c r="O220" s="32">
        <v>35</v>
      </c>
    </row>
    <row r="221" spans="12:15" x14ac:dyDescent="0.2">
      <c r="L221" s="32">
        <v>62262</v>
      </c>
      <c r="M221" s="32" t="s">
        <v>90</v>
      </c>
      <c r="N221" s="32">
        <v>80</v>
      </c>
      <c r="O221" s="32">
        <v>45</v>
      </c>
    </row>
    <row r="222" spans="12:15" x14ac:dyDescent="0.2">
      <c r="L222" s="32">
        <v>62727</v>
      </c>
      <c r="M222" s="32" t="s">
        <v>174</v>
      </c>
      <c r="N222" s="32">
        <v>80</v>
      </c>
      <c r="O222" s="32">
        <v>40</v>
      </c>
    </row>
    <row r="223" spans="12:15" x14ac:dyDescent="0.2">
      <c r="L223" s="32">
        <v>63032</v>
      </c>
      <c r="M223" s="32" t="s">
        <v>153</v>
      </c>
      <c r="N223" s="32">
        <v>90</v>
      </c>
      <c r="O223" s="32">
        <v>35</v>
      </c>
    </row>
    <row r="224" spans="12:15" x14ac:dyDescent="0.2">
      <c r="L224" s="32">
        <v>63212</v>
      </c>
      <c r="M224" s="32" t="s">
        <v>17</v>
      </c>
      <c r="N224" s="32">
        <v>60</v>
      </c>
      <c r="O224" s="32">
        <v>30</v>
      </c>
    </row>
    <row r="225" spans="12:15" x14ac:dyDescent="0.2">
      <c r="L225" s="32">
        <v>63217</v>
      </c>
      <c r="M225" s="32" t="s">
        <v>59</v>
      </c>
      <c r="N225" s="32">
        <v>70</v>
      </c>
      <c r="O225" s="32">
        <v>50</v>
      </c>
    </row>
    <row r="226" spans="12:15" x14ac:dyDescent="0.2">
      <c r="L226" s="32">
        <v>63230</v>
      </c>
      <c r="M226" s="32" t="s">
        <v>292</v>
      </c>
      <c r="N226" s="32">
        <v>70</v>
      </c>
      <c r="O226" s="32">
        <v>30</v>
      </c>
    </row>
    <row r="227" spans="12:15" x14ac:dyDescent="0.2">
      <c r="L227" s="32">
        <v>63234</v>
      </c>
      <c r="M227" s="32" t="s">
        <v>166</v>
      </c>
      <c r="N227" s="32">
        <v>60</v>
      </c>
      <c r="O227" s="32">
        <v>30</v>
      </c>
    </row>
    <row r="228" spans="12:15" x14ac:dyDescent="0.2">
      <c r="L228" s="32">
        <v>63258</v>
      </c>
      <c r="M228" s="32" t="s">
        <v>37</v>
      </c>
      <c r="N228" s="32">
        <v>60</v>
      </c>
      <c r="O228" s="32">
        <v>40</v>
      </c>
    </row>
    <row r="229" spans="12:15" x14ac:dyDescent="0.2">
      <c r="L229" s="32">
        <v>63480</v>
      </c>
      <c r="M229" s="32" t="s">
        <v>207</v>
      </c>
      <c r="N229" s="32">
        <v>60</v>
      </c>
      <c r="O229" s="32">
        <v>45</v>
      </c>
    </row>
    <row r="230" spans="12:15" x14ac:dyDescent="0.2">
      <c r="L230" s="32">
        <v>63764</v>
      </c>
      <c r="M230" s="32" t="s">
        <v>44</v>
      </c>
      <c r="N230" s="32">
        <v>70</v>
      </c>
      <c r="O230" s="32">
        <v>35</v>
      </c>
    </row>
    <row r="231" spans="12:15" x14ac:dyDescent="0.2">
      <c r="L231" s="32">
        <v>64322</v>
      </c>
      <c r="M231" s="32" t="s">
        <v>15</v>
      </c>
      <c r="N231" s="32">
        <v>70</v>
      </c>
      <c r="O231" s="32">
        <v>35</v>
      </c>
    </row>
    <row r="232" spans="12:15" x14ac:dyDescent="0.2">
      <c r="L232" s="32">
        <v>64568</v>
      </c>
      <c r="M232" s="32" t="s">
        <v>91</v>
      </c>
      <c r="N232" s="32">
        <v>70</v>
      </c>
      <c r="O232" s="32">
        <v>30</v>
      </c>
    </row>
    <row r="233" spans="12:15" x14ac:dyDescent="0.2">
      <c r="L233" s="32">
        <v>65035</v>
      </c>
      <c r="M233" s="32" t="s">
        <v>288</v>
      </c>
      <c r="N233" s="32">
        <v>50</v>
      </c>
      <c r="O233" s="32">
        <v>35</v>
      </c>
    </row>
    <row r="234" spans="12:15" x14ac:dyDescent="0.2">
      <c r="L234" s="32">
        <v>65084</v>
      </c>
      <c r="M234" s="32" t="s">
        <v>111</v>
      </c>
      <c r="N234" s="32">
        <v>70</v>
      </c>
      <c r="O234" s="32">
        <v>35</v>
      </c>
    </row>
    <row r="235" spans="12:15" x14ac:dyDescent="0.2">
      <c r="L235" s="32">
        <v>65460</v>
      </c>
      <c r="M235" s="32" t="s">
        <v>65</v>
      </c>
      <c r="N235" s="32">
        <v>80</v>
      </c>
      <c r="O235" s="32">
        <v>35</v>
      </c>
    </row>
    <row r="236" spans="12:15" x14ac:dyDescent="0.2">
      <c r="L236" s="32">
        <v>65833</v>
      </c>
      <c r="M236" s="32" t="s">
        <v>26</v>
      </c>
      <c r="N236" s="32">
        <v>70</v>
      </c>
      <c r="O236" s="32">
        <v>35</v>
      </c>
    </row>
    <row r="237" spans="12:15" x14ac:dyDescent="0.2">
      <c r="L237" s="32">
        <v>66420</v>
      </c>
      <c r="M237" s="32" t="s">
        <v>218</v>
      </c>
      <c r="N237" s="32">
        <v>60</v>
      </c>
      <c r="O237" s="32">
        <v>50</v>
      </c>
    </row>
    <row r="238" spans="12:15" x14ac:dyDescent="0.2">
      <c r="L238" s="32">
        <v>67398</v>
      </c>
      <c r="M238" s="32" t="s">
        <v>194</v>
      </c>
      <c r="N238" s="32">
        <v>70</v>
      </c>
      <c r="O238" s="32">
        <v>40</v>
      </c>
    </row>
    <row r="239" spans="12:15" x14ac:dyDescent="0.2">
      <c r="L239" s="32">
        <v>68216</v>
      </c>
      <c r="M239" s="32" t="s">
        <v>210</v>
      </c>
      <c r="N239" s="32">
        <v>60</v>
      </c>
      <c r="O239" s="32">
        <v>50</v>
      </c>
    </row>
    <row r="240" spans="12:15" x14ac:dyDescent="0.2">
      <c r="L240" s="32">
        <v>68425</v>
      </c>
      <c r="M240" s="32" t="s">
        <v>261</v>
      </c>
      <c r="N240" s="32">
        <v>90</v>
      </c>
      <c r="O240" s="32">
        <v>45</v>
      </c>
    </row>
    <row r="241" spans="12:15" x14ac:dyDescent="0.2">
      <c r="L241" s="32">
        <v>68514</v>
      </c>
      <c r="M241" s="32" t="s">
        <v>58</v>
      </c>
      <c r="N241" s="32">
        <v>60</v>
      </c>
      <c r="O241" s="32">
        <v>40</v>
      </c>
    </row>
    <row r="242" spans="12:15" x14ac:dyDescent="0.2">
      <c r="L242" s="32">
        <v>68530</v>
      </c>
      <c r="M242" s="32" t="s">
        <v>241</v>
      </c>
      <c r="N242" s="32">
        <v>50</v>
      </c>
      <c r="O242" s="32">
        <v>50</v>
      </c>
    </row>
    <row r="243" spans="12:15" x14ac:dyDescent="0.2">
      <c r="L243" s="32">
        <v>68671</v>
      </c>
      <c r="M243" s="32" t="s">
        <v>45</v>
      </c>
      <c r="N243" s="32">
        <v>60</v>
      </c>
      <c r="O243" s="32">
        <v>35</v>
      </c>
    </row>
    <row r="244" spans="12:15" x14ac:dyDescent="0.2">
      <c r="L244" s="32">
        <v>69116</v>
      </c>
      <c r="M244" s="32" t="s">
        <v>54</v>
      </c>
      <c r="N244" s="32">
        <v>80</v>
      </c>
      <c r="O244" s="32">
        <v>30</v>
      </c>
    </row>
    <row r="245" spans="12:15" x14ac:dyDescent="0.2">
      <c r="L245" s="32">
        <v>69187</v>
      </c>
      <c r="M245" s="32" t="s">
        <v>132</v>
      </c>
      <c r="N245" s="32">
        <v>50</v>
      </c>
      <c r="O245" s="32">
        <v>30</v>
      </c>
    </row>
    <row r="246" spans="12:15" x14ac:dyDescent="0.2">
      <c r="L246" s="32">
        <v>69430</v>
      </c>
      <c r="M246" s="32" t="s">
        <v>221</v>
      </c>
      <c r="N246" s="32">
        <v>80</v>
      </c>
      <c r="O246" s="32">
        <v>45</v>
      </c>
    </row>
    <row r="247" spans="12:15" x14ac:dyDescent="0.2">
      <c r="L247" s="32">
        <v>69739</v>
      </c>
      <c r="M247" s="32" t="s">
        <v>73</v>
      </c>
      <c r="N247" s="32">
        <v>90</v>
      </c>
      <c r="O247" s="32">
        <v>35</v>
      </c>
    </row>
    <row r="248" spans="12:15" x14ac:dyDescent="0.2">
      <c r="L248" s="32">
        <v>69757</v>
      </c>
      <c r="M248" s="32" t="s">
        <v>249</v>
      </c>
      <c r="N248" s="32">
        <v>80</v>
      </c>
      <c r="O248" s="32">
        <v>45</v>
      </c>
    </row>
    <row r="249" spans="12:15" x14ac:dyDescent="0.2">
      <c r="L249" s="32">
        <v>69872</v>
      </c>
      <c r="M249" s="32" t="s">
        <v>299</v>
      </c>
      <c r="N249" s="32">
        <v>80</v>
      </c>
      <c r="O249" s="32">
        <v>35</v>
      </c>
    </row>
    <row r="250" spans="12:15" x14ac:dyDescent="0.2">
      <c r="L250" s="32">
        <v>69914</v>
      </c>
      <c r="M250" s="32" t="s">
        <v>265</v>
      </c>
      <c r="N250" s="32">
        <v>90</v>
      </c>
      <c r="O250" s="32">
        <v>30</v>
      </c>
    </row>
    <row r="251" spans="12:15" x14ac:dyDescent="0.2">
      <c r="L251" s="32">
        <v>69977</v>
      </c>
      <c r="M251" s="32" t="s">
        <v>63</v>
      </c>
      <c r="N251" s="32">
        <v>50</v>
      </c>
      <c r="O251" s="32">
        <v>45</v>
      </c>
    </row>
    <row r="252" spans="12:15" x14ac:dyDescent="0.2">
      <c r="L252" s="32">
        <v>70204</v>
      </c>
      <c r="M252" s="32" t="s">
        <v>61</v>
      </c>
      <c r="N252" s="32">
        <v>60</v>
      </c>
      <c r="O252" s="32">
        <v>50</v>
      </c>
    </row>
    <row r="253" spans="12:15" x14ac:dyDescent="0.2">
      <c r="L253" s="32">
        <v>70325</v>
      </c>
      <c r="M253" s="32" t="s">
        <v>25</v>
      </c>
      <c r="N253" s="32">
        <v>70</v>
      </c>
      <c r="O253" s="32">
        <v>30</v>
      </c>
    </row>
    <row r="254" spans="12:15" x14ac:dyDescent="0.2">
      <c r="L254" s="32">
        <v>71206</v>
      </c>
      <c r="M254" s="32" t="s">
        <v>289</v>
      </c>
      <c r="N254" s="32">
        <v>80</v>
      </c>
      <c r="O254" s="32">
        <v>40</v>
      </c>
    </row>
    <row r="255" spans="12:15" x14ac:dyDescent="0.2">
      <c r="L255" s="32">
        <v>71321</v>
      </c>
      <c r="M255" s="32" t="s">
        <v>220</v>
      </c>
      <c r="N255" s="32">
        <v>90</v>
      </c>
      <c r="O255" s="32">
        <v>40</v>
      </c>
    </row>
    <row r="256" spans="12:15" x14ac:dyDescent="0.2">
      <c r="L256" s="32">
        <v>71469</v>
      </c>
      <c r="M256" s="32" t="s">
        <v>208</v>
      </c>
      <c r="N256" s="32">
        <v>90</v>
      </c>
      <c r="O256" s="32">
        <v>35</v>
      </c>
    </row>
    <row r="257" spans="12:15" x14ac:dyDescent="0.2">
      <c r="L257" s="32">
        <v>71539</v>
      </c>
      <c r="M257" s="32" t="s">
        <v>24</v>
      </c>
      <c r="N257" s="32">
        <v>50</v>
      </c>
      <c r="O257" s="32">
        <v>30</v>
      </c>
    </row>
    <row r="258" spans="12:15" x14ac:dyDescent="0.2">
      <c r="L258" s="32">
        <v>72079</v>
      </c>
      <c r="M258" s="32" t="s">
        <v>124</v>
      </c>
      <c r="N258" s="32">
        <v>60</v>
      </c>
      <c r="O258" s="32">
        <v>40</v>
      </c>
    </row>
    <row r="259" spans="12:15" x14ac:dyDescent="0.2">
      <c r="L259" s="32">
        <v>72344</v>
      </c>
      <c r="M259" s="32" t="s">
        <v>154</v>
      </c>
      <c r="N259" s="32">
        <v>50</v>
      </c>
      <c r="O259" s="32">
        <v>35</v>
      </c>
    </row>
    <row r="260" spans="12:15" x14ac:dyDescent="0.2">
      <c r="L260" s="32">
        <v>72791</v>
      </c>
      <c r="M260" s="32" t="s">
        <v>293</v>
      </c>
      <c r="N260" s="32">
        <v>70</v>
      </c>
      <c r="O260" s="32">
        <v>45</v>
      </c>
    </row>
    <row r="261" spans="12:15" x14ac:dyDescent="0.2">
      <c r="L261" s="32">
        <v>73378</v>
      </c>
      <c r="M261" s="32" t="s">
        <v>123</v>
      </c>
      <c r="N261" s="32">
        <v>80</v>
      </c>
      <c r="O261" s="32">
        <v>35</v>
      </c>
    </row>
    <row r="262" spans="12:15" x14ac:dyDescent="0.2">
      <c r="L262" s="32">
        <v>73494</v>
      </c>
      <c r="M262" s="32" t="s">
        <v>228</v>
      </c>
      <c r="N262" s="32">
        <v>70</v>
      </c>
      <c r="O262" s="32">
        <v>45</v>
      </c>
    </row>
    <row r="263" spans="12:15" x14ac:dyDescent="0.2">
      <c r="L263" s="32">
        <v>73694</v>
      </c>
      <c r="M263" s="32" t="s">
        <v>185</v>
      </c>
      <c r="N263" s="32">
        <v>50</v>
      </c>
      <c r="O263" s="32">
        <v>30</v>
      </c>
    </row>
    <row r="264" spans="12:15" x14ac:dyDescent="0.2">
      <c r="L264" s="32">
        <v>74147</v>
      </c>
      <c r="M264" s="32" t="s">
        <v>105</v>
      </c>
      <c r="N264" s="32">
        <v>70</v>
      </c>
      <c r="O264" s="32">
        <v>50</v>
      </c>
    </row>
    <row r="265" spans="12:15" x14ac:dyDescent="0.2">
      <c r="L265" s="32">
        <v>74205</v>
      </c>
      <c r="M265" s="32" t="s">
        <v>217</v>
      </c>
      <c r="N265" s="32">
        <v>70</v>
      </c>
      <c r="O265" s="32">
        <v>50</v>
      </c>
    </row>
    <row r="266" spans="12:15" x14ac:dyDescent="0.2">
      <c r="L266" s="32">
        <v>74665</v>
      </c>
      <c r="M266" s="32" t="s">
        <v>78</v>
      </c>
      <c r="N266" s="32">
        <v>50</v>
      </c>
      <c r="O266" s="32">
        <v>50</v>
      </c>
    </row>
    <row r="267" spans="12:15" x14ac:dyDescent="0.2">
      <c r="L267" s="32">
        <v>75465</v>
      </c>
      <c r="M267" s="32" t="s">
        <v>70</v>
      </c>
      <c r="N267" s="32">
        <v>70</v>
      </c>
      <c r="O267" s="32">
        <v>50</v>
      </c>
    </row>
    <row r="268" spans="12:15" x14ac:dyDescent="0.2">
      <c r="L268" s="32">
        <v>75589</v>
      </c>
      <c r="M268" s="32" t="s">
        <v>240</v>
      </c>
      <c r="N268" s="32">
        <v>80</v>
      </c>
      <c r="O268" s="32">
        <v>50</v>
      </c>
    </row>
    <row r="269" spans="12:15" x14ac:dyDescent="0.2">
      <c r="L269" s="32">
        <v>76268</v>
      </c>
      <c r="M269" s="32" t="s">
        <v>260</v>
      </c>
      <c r="N269" s="32">
        <v>80</v>
      </c>
      <c r="O269" s="32">
        <v>35</v>
      </c>
    </row>
    <row r="270" spans="12:15" x14ac:dyDescent="0.2">
      <c r="L270" s="32">
        <v>76491</v>
      </c>
      <c r="M270" s="32" t="s">
        <v>196</v>
      </c>
      <c r="N270" s="32">
        <v>50</v>
      </c>
      <c r="O270" s="32">
        <v>40</v>
      </c>
    </row>
    <row r="271" spans="12:15" x14ac:dyDescent="0.2">
      <c r="L271" s="32">
        <v>76493</v>
      </c>
      <c r="M271" s="32" t="s">
        <v>106</v>
      </c>
      <c r="N271" s="32">
        <v>70</v>
      </c>
      <c r="O271" s="32">
        <v>35</v>
      </c>
    </row>
    <row r="272" spans="12:15" x14ac:dyDescent="0.2">
      <c r="L272" s="32">
        <v>76498</v>
      </c>
      <c r="M272" s="32" t="s">
        <v>125</v>
      </c>
      <c r="N272" s="32">
        <v>70</v>
      </c>
      <c r="O272" s="32">
        <v>40</v>
      </c>
    </row>
    <row r="273" spans="12:15" x14ac:dyDescent="0.2">
      <c r="L273" s="32">
        <v>77111</v>
      </c>
      <c r="M273" s="32" t="s">
        <v>141</v>
      </c>
      <c r="N273" s="32">
        <v>70</v>
      </c>
      <c r="O273" s="32">
        <v>45</v>
      </c>
    </row>
    <row r="274" spans="12:15" x14ac:dyDescent="0.2">
      <c r="L274" s="32">
        <v>77246</v>
      </c>
      <c r="M274" s="32" t="s">
        <v>233</v>
      </c>
      <c r="N274" s="32">
        <v>50</v>
      </c>
      <c r="O274" s="32">
        <v>30</v>
      </c>
    </row>
    <row r="275" spans="12:15" x14ac:dyDescent="0.2">
      <c r="L275" s="32">
        <v>77308</v>
      </c>
      <c r="M275" s="32" t="s">
        <v>52</v>
      </c>
      <c r="N275" s="32">
        <v>50</v>
      </c>
      <c r="O275" s="32">
        <v>45</v>
      </c>
    </row>
    <row r="276" spans="12:15" x14ac:dyDescent="0.2">
      <c r="L276" s="32">
        <v>77579</v>
      </c>
      <c r="M276" s="32" t="s">
        <v>39</v>
      </c>
      <c r="N276" s="32">
        <v>50</v>
      </c>
      <c r="O276" s="32">
        <v>35</v>
      </c>
    </row>
    <row r="277" spans="12:15" x14ac:dyDescent="0.2">
      <c r="L277" s="32">
        <v>78475</v>
      </c>
      <c r="M277" s="32" t="s">
        <v>27</v>
      </c>
      <c r="N277" s="32">
        <v>60</v>
      </c>
      <c r="O277" s="32">
        <v>40</v>
      </c>
    </row>
    <row r="278" spans="12:15" x14ac:dyDescent="0.2">
      <c r="L278" s="32">
        <v>79902</v>
      </c>
      <c r="M278" s="32" t="s">
        <v>212</v>
      </c>
      <c r="N278" s="32">
        <v>50</v>
      </c>
      <c r="O278" s="32">
        <v>30</v>
      </c>
    </row>
    <row r="279" spans="12:15" x14ac:dyDescent="0.2">
      <c r="L279" s="32">
        <v>80030</v>
      </c>
      <c r="M279" s="32" t="s">
        <v>255</v>
      </c>
      <c r="N279" s="32">
        <v>60</v>
      </c>
      <c r="O279" s="32">
        <v>45</v>
      </c>
    </row>
    <row r="280" spans="12:15" x14ac:dyDescent="0.2">
      <c r="L280" s="32">
        <v>80780</v>
      </c>
      <c r="M280" s="32" t="s">
        <v>252</v>
      </c>
      <c r="N280" s="32">
        <v>50</v>
      </c>
      <c r="O280" s="32">
        <v>30</v>
      </c>
    </row>
    <row r="281" spans="12:15" x14ac:dyDescent="0.2">
      <c r="L281" s="32">
        <v>85964</v>
      </c>
      <c r="M281" s="32" t="s">
        <v>229</v>
      </c>
      <c r="N281" s="32">
        <v>80</v>
      </c>
      <c r="O281" s="32">
        <v>40</v>
      </c>
    </row>
    <row r="282" spans="12:15" x14ac:dyDescent="0.2">
      <c r="L282" s="32">
        <v>86099</v>
      </c>
      <c r="M282" s="32" t="s">
        <v>183</v>
      </c>
      <c r="N282" s="32">
        <v>70</v>
      </c>
      <c r="O282" s="32">
        <v>50</v>
      </c>
    </row>
    <row r="283" spans="12:15" x14ac:dyDescent="0.2">
      <c r="L283" s="32">
        <v>86137</v>
      </c>
      <c r="M283" s="32" t="s">
        <v>155</v>
      </c>
      <c r="N283" s="32">
        <v>60</v>
      </c>
      <c r="O283" s="32">
        <v>45</v>
      </c>
    </row>
    <row r="284" spans="12:15" x14ac:dyDescent="0.2">
      <c r="L284" s="32">
        <v>86262</v>
      </c>
      <c r="M284" s="32" t="s">
        <v>60</v>
      </c>
      <c r="N284" s="32">
        <v>60</v>
      </c>
      <c r="O284" s="32">
        <v>45</v>
      </c>
    </row>
    <row r="285" spans="12:15" x14ac:dyDescent="0.2">
      <c r="L285" s="32">
        <v>86628</v>
      </c>
      <c r="M285" s="32" t="s">
        <v>209</v>
      </c>
      <c r="N285" s="32">
        <v>60</v>
      </c>
      <c r="O285" s="32">
        <v>30</v>
      </c>
    </row>
    <row r="286" spans="12:15" x14ac:dyDescent="0.2">
      <c r="L286" s="32">
        <v>87020</v>
      </c>
      <c r="M286" s="32" t="s">
        <v>19</v>
      </c>
      <c r="N286" s="32">
        <v>60</v>
      </c>
      <c r="O286" s="32">
        <v>40</v>
      </c>
    </row>
    <row r="287" spans="12:15" x14ac:dyDescent="0.2">
      <c r="L287" s="32">
        <v>87663</v>
      </c>
      <c r="M287" s="32" t="s">
        <v>236</v>
      </c>
      <c r="N287" s="32">
        <v>50</v>
      </c>
      <c r="O287" s="32">
        <v>40</v>
      </c>
    </row>
    <row r="288" spans="12:15" x14ac:dyDescent="0.2">
      <c r="L288" s="32">
        <v>87672</v>
      </c>
      <c r="M288" s="32" t="s">
        <v>98</v>
      </c>
      <c r="N288" s="32">
        <v>80</v>
      </c>
      <c r="O288" s="32">
        <v>45</v>
      </c>
    </row>
    <row r="289" spans="12:15" x14ac:dyDescent="0.2">
      <c r="L289" s="32">
        <v>87779</v>
      </c>
      <c r="M289" s="32" t="s">
        <v>200</v>
      </c>
      <c r="N289" s="32">
        <v>50</v>
      </c>
      <c r="O289" s="32">
        <v>40</v>
      </c>
    </row>
    <row r="290" spans="12:15" x14ac:dyDescent="0.2">
      <c r="L290" s="32">
        <v>88449</v>
      </c>
      <c r="M290" s="32" t="s">
        <v>198</v>
      </c>
      <c r="N290" s="32">
        <v>50</v>
      </c>
      <c r="O290" s="32">
        <v>45</v>
      </c>
    </row>
    <row r="291" spans="12:15" x14ac:dyDescent="0.2">
      <c r="L291" s="32">
        <v>89250</v>
      </c>
      <c r="M291" s="32" t="s">
        <v>157</v>
      </c>
      <c r="N291" s="32">
        <v>90</v>
      </c>
      <c r="O291" s="32">
        <v>45</v>
      </c>
    </row>
    <row r="292" spans="12:15" x14ac:dyDescent="0.2">
      <c r="L292" s="32">
        <v>89291</v>
      </c>
      <c r="M292" s="32" t="s">
        <v>168</v>
      </c>
      <c r="N292" s="32">
        <v>80</v>
      </c>
      <c r="O292" s="32">
        <v>40</v>
      </c>
    </row>
    <row r="293" spans="12:15" x14ac:dyDescent="0.2">
      <c r="L293" s="32">
        <v>89499</v>
      </c>
      <c r="M293" s="32" t="s">
        <v>199</v>
      </c>
      <c r="N293" s="32">
        <v>60</v>
      </c>
      <c r="O293" s="32">
        <v>30</v>
      </c>
    </row>
    <row r="294" spans="12:15" x14ac:dyDescent="0.2">
      <c r="L294" s="32">
        <v>89515</v>
      </c>
      <c r="M294" s="32" t="s">
        <v>219</v>
      </c>
      <c r="N294" s="32">
        <v>50</v>
      </c>
      <c r="O294" s="32">
        <v>40</v>
      </c>
    </row>
    <row r="295" spans="12:15" x14ac:dyDescent="0.2">
      <c r="L295" s="32">
        <v>89787</v>
      </c>
      <c r="M295" s="32" t="s">
        <v>122</v>
      </c>
      <c r="N295" s="32">
        <v>80</v>
      </c>
      <c r="O295" s="32">
        <v>50</v>
      </c>
    </row>
    <row r="296" spans="12:15" x14ac:dyDescent="0.2">
      <c r="L296" s="32">
        <v>89907</v>
      </c>
      <c r="M296" s="32" t="s">
        <v>158</v>
      </c>
      <c r="N296" s="32">
        <v>70</v>
      </c>
      <c r="O296" s="32">
        <v>35</v>
      </c>
    </row>
    <row r="297" spans="12:15" x14ac:dyDescent="0.2">
      <c r="L297" s="32">
        <v>91873</v>
      </c>
      <c r="M297" s="32" t="s">
        <v>187</v>
      </c>
      <c r="N297" s="32">
        <v>90</v>
      </c>
      <c r="O297" s="32">
        <v>50</v>
      </c>
    </row>
    <row r="298" spans="12:15" x14ac:dyDescent="0.2">
      <c r="L298" s="32">
        <v>91948</v>
      </c>
      <c r="M298" s="32" t="s">
        <v>175</v>
      </c>
      <c r="N298" s="32">
        <v>80</v>
      </c>
      <c r="O298" s="32">
        <v>45</v>
      </c>
    </row>
    <row r="299" spans="12:15" x14ac:dyDescent="0.2">
      <c r="L299" s="32">
        <v>92037</v>
      </c>
      <c r="M299" s="32" t="s">
        <v>79</v>
      </c>
      <c r="N299" s="32">
        <v>90</v>
      </c>
      <c r="O299" s="32">
        <v>30</v>
      </c>
    </row>
    <row r="300" spans="12:15" x14ac:dyDescent="0.2">
      <c r="L300" s="32">
        <v>92094</v>
      </c>
      <c r="M300" s="32" t="s">
        <v>95</v>
      </c>
      <c r="N300" s="32">
        <v>50</v>
      </c>
      <c r="O300" s="32">
        <v>35</v>
      </c>
    </row>
    <row r="301" spans="12:15" x14ac:dyDescent="0.2">
      <c r="L301" s="32">
        <v>92227</v>
      </c>
      <c r="M301" s="32" t="s">
        <v>49</v>
      </c>
      <c r="N301" s="32">
        <v>70</v>
      </c>
      <c r="O301" s="32">
        <v>35</v>
      </c>
    </row>
    <row r="302" spans="12:15" x14ac:dyDescent="0.2">
      <c r="L302" s="32">
        <v>92647</v>
      </c>
      <c r="M302" s="32" t="s">
        <v>64</v>
      </c>
      <c r="N302" s="32">
        <v>80</v>
      </c>
      <c r="O302" s="32">
        <v>35</v>
      </c>
    </row>
    <row r="303" spans="12:15" x14ac:dyDescent="0.2">
      <c r="L303" s="32">
        <v>93248</v>
      </c>
      <c r="M303" s="32" t="s">
        <v>103</v>
      </c>
      <c r="N303" s="32">
        <v>50</v>
      </c>
      <c r="O303" s="32">
        <v>30</v>
      </c>
    </row>
    <row r="304" spans="12:15" x14ac:dyDescent="0.2">
      <c r="L304" s="32">
        <v>93291</v>
      </c>
      <c r="M304" s="32" t="s">
        <v>55</v>
      </c>
      <c r="N304" s="32">
        <v>90</v>
      </c>
      <c r="O304" s="32">
        <v>30</v>
      </c>
    </row>
    <row r="305" spans="12:15" x14ac:dyDescent="0.2">
      <c r="L305" s="32">
        <v>95096</v>
      </c>
      <c r="M305" s="32" t="s">
        <v>276</v>
      </c>
      <c r="N305" s="32">
        <v>60</v>
      </c>
      <c r="O305" s="32">
        <v>45</v>
      </c>
    </row>
    <row r="306" spans="12:15" x14ac:dyDescent="0.2">
      <c r="L306" s="32">
        <v>96910</v>
      </c>
      <c r="M306" s="32" t="s">
        <v>29</v>
      </c>
      <c r="N306" s="32">
        <v>90</v>
      </c>
      <c r="O306" s="32">
        <v>45</v>
      </c>
    </row>
    <row r="307" spans="12:15" x14ac:dyDescent="0.2">
      <c r="L307" s="32">
        <v>97765</v>
      </c>
      <c r="M307" s="32" t="s">
        <v>112</v>
      </c>
      <c r="N307" s="32">
        <v>50</v>
      </c>
      <c r="O307" s="32">
        <v>40</v>
      </c>
    </row>
    <row r="308" spans="12:15" x14ac:dyDescent="0.2">
      <c r="L308" s="32">
        <v>98181</v>
      </c>
      <c r="M308" s="32" t="s">
        <v>291</v>
      </c>
      <c r="N308" s="32">
        <v>90</v>
      </c>
      <c r="O308" s="32">
        <v>30</v>
      </c>
    </row>
    <row r="309" spans="12:15" x14ac:dyDescent="0.2">
      <c r="L309" s="32">
        <v>98314</v>
      </c>
      <c r="M309" s="32" t="s">
        <v>192</v>
      </c>
      <c r="N309" s="32">
        <v>70</v>
      </c>
      <c r="O309" s="32">
        <v>50</v>
      </c>
    </row>
    <row r="310" spans="12:15" x14ac:dyDescent="0.2">
      <c r="L310" s="32">
        <v>98651</v>
      </c>
      <c r="M310" s="32" t="s">
        <v>270</v>
      </c>
      <c r="N310" s="32">
        <v>70</v>
      </c>
      <c r="O310" s="32">
        <v>35</v>
      </c>
    </row>
  </sheetData>
  <sheetProtection algorithmName="SHA-512" hashValue="BEitZmZfEdiIAXcjb/eHBoOJDmK28CrLFfG4qmAXdph2DkWg28zJijymF79TzTVjAbwCXTVX1gb0p46OEq4RZg==" saltValue="nBWB4tvkLQJwExw29xnT1A==" spinCount="100000" sheet="1" selectLockedCells="1" selectUnlockedCells="1"/>
  <sortState xmlns:xlrd2="http://schemas.microsoft.com/office/spreadsheetml/2017/richdata2" ref="L2:N310">
    <sortCondition ref="L2:L310"/>
  </sortState>
  <mergeCells count="3">
    <mergeCell ref="D12:E12"/>
    <mergeCell ref="D8:E8"/>
    <mergeCell ref="D22:E22"/>
  </mergeCells>
  <phoneticPr fontId="16" type="noConversion"/>
  <pageMargins left="0.7" right="0.7" top="0.75" bottom="0.75" header="0.3" footer="0.3"/>
  <pageSetup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91E680-7E24-4791-8F5C-C2D8DC42AAC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steps</vt:lpstr>
      <vt:lpstr>coins</vt:lpstr>
      <vt:lpstr>dice</vt:lpstr>
      <vt:lpstr>fiveTen</vt:lpstr>
      <vt:lpstr>hidden</vt:lpstr>
      <vt:lpstr>dice</vt:lpstr>
      <vt:lpstr>translate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Julie Bujouves</dc:creator>
  <cp:lastModifiedBy>Shenghua He</cp:lastModifiedBy>
  <dcterms:created xsi:type="dcterms:W3CDTF">2022-01-21T21:45:11Z</dcterms:created>
  <dcterms:modified xsi:type="dcterms:W3CDTF">2022-03-30T21:04:25Z</dcterms:modified>
</cp:coreProperties>
</file>